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_doi_don_nghi" sheetId="1" state="visible" r:id="rId1"/>
    <sheet xmlns:r="http://schemas.openxmlformats.org/officeDocument/2006/relationships" name="Quy_phep_n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2A4365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22543D"/>
      <sz val="10"/>
    </font>
    <font>
      <name val="Segoe UI"/>
      <b val="1"/>
      <color rgb="00C05621"/>
      <sz val="10"/>
    </font>
  </fonts>
  <fills count="6">
    <fill>
      <patternFill/>
    </fill>
    <fill>
      <patternFill patternType="gray125"/>
    </fill>
    <fill>
      <patternFill patternType="solid">
        <fgColor rgb="002A4365"/>
        <bgColor rgb="002A4365"/>
      </patternFill>
    </fill>
    <fill>
      <patternFill patternType="solid">
        <fgColor rgb="00C6F6D5"/>
        <bgColor rgb="00C6F6D5"/>
      </patternFill>
    </fill>
    <fill>
      <patternFill patternType="solid">
        <fgColor rgb="00F8FAFC"/>
        <bgColor rgb="00F8FAFC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32" customWidth="1" min="4" max="4"/>
    <col width="35" customWidth="1" min="5" max="5"/>
    <col width="14" customWidth="1" min="6" max="6"/>
    <col width="14" customWidth="1" min="7" max="7"/>
    <col width="12" customWidth="1" min="8" max="8"/>
    <col width="51" customWidth="1" min="9" max="9"/>
    <col width="21" customWidth="1" min="10" max="10"/>
    <col width="20" customWidth="1" min="11" max="11"/>
  </cols>
  <sheetData>
    <row r="1">
      <c r="A1" s="1" t="inlineStr">
        <is>
          <t>SỔ THEO DÕI NGHỈ PHÉP &amp; NGHỈ VIỆC RIÊNG NĂM 2026 - CÔNG TY A</t>
        </is>
      </c>
    </row>
    <row r="2">
      <c r="A2" s="2" t="inlineStr">
        <is>
          <t>Hệ thống quản lý chấm công &amp; phép | Dữ liệu cập nhật: Năm 2026</t>
        </is>
      </c>
    </row>
    <row r="3"/>
    <row r="4" ht="26" customHeight="1">
      <c r="A4" s="3" t="inlineStr">
        <is>
          <t>Mã đơn</t>
        </is>
      </c>
      <c r="B4" s="3" t="inlineStr">
        <is>
          <t>Mã NV</t>
        </is>
      </c>
      <c r="C4" s="3" t="inlineStr">
        <is>
          <t>Họ và tên</t>
        </is>
      </c>
      <c r="D4" s="3" t="inlineStr">
        <is>
          <t>Phòng ban</t>
        </is>
      </c>
      <c r="E4" s="3" t="inlineStr">
        <is>
          <t>Loại nghỉ phép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Số ngày</t>
        </is>
      </c>
      <c r="I4" s="3" t="inlineStr">
        <is>
          <t>Lý do xin nghỉ</t>
        </is>
      </c>
      <c r="J4" s="3" t="inlineStr">
        <is>
          <t>Người phê duyệt</t>
        </is>
      </c>
      <c r="K4" s="3" t="inlineStr">
        <is>
          <t>Trạng thái duyệt</t>
        </is>
      </c>
    </row>
    <row r="5" ht="20" customHeight="1">
      <c r="A5" s="4" t="inlineStr">
        <is>
          <t>NP-2026-0012</t>
        </is>
      </c>
      <c r="B5" s="4" t="inlineStr">
        <is>
          <t>TP0003</t>
        </is>
      </c>
      <c r="C5" s="5" t="inlineStr">
        <is>
          <t>Trần Mai Phương</t>
        </is>
      </c>
      <c r="D5" s="5" t="inlineStr">
        <is>
          <t>Ban Giám đốc</t>
        </is>
      </c>
      <c r="E5" s="5" t="inlineStr">
        <is>
          <t>Nghỉ phép năm</t>
        </is>
      </c>
      <c r="F5" s="6" t="inlineStr">
        <is>
          <t>2026-01-22</t>
        </is>
      </c>
      <c r="G5" s="6" t="inlineStr">
        <is>
          <t>2026-01-23</t>
        </is>
      </c>
      <c r="H5" s="7" t="n">
        <v>2</v>
      </c>
      <c r="I5" s="5" t="inlineStr">
        <is>
          <t>Giải quyết việc cá nhân gia đình</t>
        </is>
      </c>
      <c r="J5" s="5" t="inlineStr">
        <is>
          <t>Phạm Thái Hùng</t>
        </is>
      </c>
      <c r="K5" s="8" t="inlineStr">
        <is>
          <t>Đã duyệt</t>
        </is>
      </c>
    </row>
    <row r="6" ht="20" customHeight="1">
      <c r="A6" s="9" t="inlineStr">
        <is>
          <t>NP-2026-0045</t>
        </is>
      </c>
      <c r="B6" s="9" t="inlineStr">
        <is>
          <t>TP0010</t>
        </is>
      </c>
      <c r="C6" s="10" t="inlineStr">
        <is>
          <t>Nguyễn Bích Thủy</t>
        </is>
      </c>
      <c r="D6" s="10" t="inlineStr">
        <is>
          <t>Phòng Tài chính - Kế toán</t>
        </is>
      </c>
      <c r="E6" s="10" t="inlineStr">
        <is>
          <t>Nghỉ phép năm</t>
        </is>
      </c>
      <c r="F6" s="11" t="inlineStr">
        <is>
          <t>2026-02-19</t>
        </is>
      </c>
      <c r="G6" s="11" t="inlineStr">
        <is>
          <t>2026-02-20</t>
        </is>
      </c>
      <c r="H6" s="12" t="n">
        <v>2</v>
      </c>
      <c r="I6" s="10" t="inlineStr">
        <is>
          <t>Về quê ăn giỗ</t>
        </is>
      </c>
      <c r="J6" s="10" t="inlineStr">
        <is>
          <t>Lê Thu Lan</t>
        </is>
      </c>
      <c r="K6" s="8" t="inlineStr">
        <is>
          <t>Đã duyệt</t>
        </is>
      </c>
    </row>
    <row r="7" ht="20" customHeight="1">
      <c r="A7" s="4" t="inlineStr">
        <is>
          <t>NP-2026-0088</t>
        </is>
      </c>
      <c r="B7" s="4" t="inlineStr">
        <is>
          <t>TP0018</t>
        </is>
      </c>
      <c r="C7" s="5" t="inlineStr">
        <is>
          <t>Phạm Quốc Bảo</t>
        </is>
      </c>
      <c r="D7" s="5" t="inlineStr">
        <is>
          <t>Phòng Kinh doanh &amp; Marketing</t>
        </is>
      </c>
      <c r="E7" s="5" t="inlineStr">
        <is>
          <t>Nghỉ ốm đau ngắn ngày</t>
        </is>
      </c>
      <c r="F7" s="6" t="inlineStr">
        <is>
          <t>2026-03-11</t>
        </is>
      </c>
      <c r="G7" s="6" t="inlineStr">
        <is>
          <t>2026-03-13</t>
        </is>
      </c>
      <c r="H7" s="7" t="n">
        <v>3</v>
      </c>
      <c r="I7" s="5" t="inlineStr">
        <is>
          <t>Sốt xuất huyết, điều trị ngoại trú có GCN BHXH</t>
        </is>
      </c>
      <c r="J7" s="5" t="inlineStr">
        <is>
          <t>Nguyễn Văn Hùng</t>
        </is>
      </c>
      <c r="K7" s="8" t="inlineStr">
        <is>
          <t>Đã duyệt</t>
        </is>
      </c>
    </row>
    <row r="8" ht="20" customHeight="1">
      <c r="A8" s="9" t="inlineStr">
        <is>
          <t>NP-2026-0115</t>
        </is>
      </c>
      <c r="B8" s="9" t="inlineStr">
        <is>
          <t>TP0027</t>
        </is>
      </c>
      <c r="C8" s="10" t="inlineStr">
        <is>
          <t>Vũ Đình Bách</t>
        </is>
      </c>
      <c r="D8" s="10" t="inlineStr">
        <is>
          <t>Phòng Kỹ thuật &amp; Công nghệ</t>
        </is>
      </c>
      <c r="E8" s="10" t="inlineStr">
        <is>
          <t>Nghỉ chế độ việc riêng có lương</t>
        </is>
      </c>
      <c r="F8" s="11" t="inlineStr">
        <is>
          <t>2026-03-25</t>
        </is>
      </c>
      <c r="G8" s="11" t="inlineStr">
        <is>
          <t>2026-03-27</t>
        </is>
      </c>
      <c r="H8" s="12" t="n">
        <v>3</v>
      </c>
      <c r="I8" s="10" t="inlineStr">
        <is>
          <t>Kết hôn cá nhân (hưởng nguyên lương theo luật)</t>
        </is>
      </c>
      <c r="J8" s="10" t="inlineStr">
        <is>
          <t>Đỗ Trọng Thắng</t>
        </is>
      </c>
      <c r="K8" s="8" t="inlineStr">
        <is>
          <t>Đã duyệt</t>
        </is>
      </c>
    </row>
    <row r="9" ht="20" customHeight="1">
      <c r="A9" s="4" t="inlineStr">
        <is>
          <t>NP-2026-0142</t>
        </is>
      </c>
      <c r="B9" s="4" t="inlineStr">
        <is>
          <t>TP0034</t>
        </is>
      </c>
      <c r="C9" s="5" t="inlineStr">
        <is>
          <t>Trần Văn Bình</t>
        </is>
      </c>
      <c r="D9" s="5" t="inlineStr">
        <is>
          <t>Xưởng Sản xuất &amp; Vận hành</t>
        </is>
      </c>
      <c r="E9" s="5" t="inlineStr">
        <is>
          <t>Nghỉ phép năm</t>
        </is>
      </c>
      <c r="F9" s="6" t="inlineStr">
        <is>
          <t>2026-04-14</t>
        </is>
      </c>
      <c r="G9" s="6" t="inlineStr">
        <is>
          <t>2026-04-15</t>
        </is>
      </c>
      <c r="H9" s="7" t="n">
        <v>2</v>
      </c>
      <c r="I9" s="5" t="inlineStr">
        <is>
          <t>Việc gia đình</t>
        </is>
      </c>
      <c r="J9" s="5" t="inlineStr">
        <is>
          <t>Nguyễn Khắc Quyền</t>
        </is>
      </c>
      <c r="K9" s="8" t="inlineStr">
        <is>
          <t>Đã duyệt</t>
        </is>
      </c>
    </row>
    <row r="10" ht="20" customHeight="1">
      <c r="A10" s="9" t="inlineStr">
        <is>
          <t>NP-2026-0180</t>
        </is>
      </c>
      <c r="B10" s="9" t="inlineStr">
        <is>
          <t>TP0046</t>
        </is>
      </c>
      <c r="C10" s="10" t="inlineStr">
        <is>
          <t>Nguyễn Thị Sen</t>
        </is>
      </c>
      <c r="D10" s="10" t="inlineStr">
        <is>
          <t>Xưởng Sản xuất &amp; Vận hành</t>
        </is>
      </c>
      <c r="E10" s="10" t="inlineStr">
        <is>
          <t>Nghỉ thai sản</t>
        </is>
      </c>
      <c r="F10" s="11" t="inlineStr">
        <is>
          <t>2026-05-01</t>
        </is>
      </c>
      <c r="G10" s="11" t="inlineStr">
        <is>
          <t>2026-10-31</t>
        </is>
      </c>
      <c r="H10" s="12" t="n">
        <v>156</v>
      </c>
      <c r="I10" s="10" t="inlineStr">
        <is>
          <t>Nghỉ sinh con theo chế độ thai sản BHXH 6 tháng</t>
        </is>
      </c>
      <c r="J10" s="10" t="inlineStr">
        <is>
          <t>Nguyễn Khắc Quyền</t>
        </is>
      </c>
      <c r="K10" s="8" t="inlineStr">
        <is>
          <t>Đã duyệt</t>
        </is>
      </c>
    </row>
    <row r="11" ht="20" customHeight="1">
      <c r="A11" s="4" t="inlineStr">
        <is>
          <t>NP-2026-0210</t>
        </is>
      </c>
      <c r="B11" s="4" t="inlineStr">
        <is>
          <t>TP0005</t>
        </is>
      </c>
      <c r="C11" s="5" t="inlineStr">
        <is>
          <t>Đỗ Thị Quỳnh Nga</t>
        </is>
      </c>
      <c r="D11" s="5" t="inlineStr">
        <is>
          <t>Phòng Hành chính - Nhân sự</t>
        </is>
      </c>
      <c r="E11" s="5" t="inlineStr">
        <is>
          <t>Nghỉ phép năm</t>
        </is>
      </c>
      <c r="F11" s="6" t="inlineStr">
        <is>
          <t>2026-06-08</t>
        </is>
      </c>
      <c r="G11" s="6" t="inlineStr">
        <is>
          <t>2026-06-09</t>
        </is>
      </c>
      <c r="H11" s="7" t="n">
        <v>2</v>
      </c>
      <c r="I11" s="5" t="inlineStr">
        <is>
          <t>Du lịch nghỉ hè cùng gia đình</t>
        </is>
      </c>
      <c r="J11" s="5" t="inlineStr">
        <is>
          <t>Hà Quang Dũng</t>
        </is>
      </c>
      <c r="K11" s="8" t="inlineStr">
        <is>
          <t>Đã duyệt</t>
        </is>
      </c>
    </row>
    <row r="12" ht="20" customHeight="1">
      <c r="A12" s="9" t="inlineStr">
        <is>
          <t>NP-2026-0245</t>
        </is>
      </c>
      <c r="B12" s="9" t="inlineStr">
        <is>
          <t>TP0016</t>
        </is>
      </c>
      <c r="C12" s="10" t="inlineStr">
        <is>
          <t>Đặng Minh Nam</t>
        </is>
      </c>
      <c r="D12" s="10" t="inlineStr">
        <is>
          <t>Phòng Kinh doanh &amp; Marketing</t>
        </is>
      </c>
      <c r="E12" s="10" t="inlineStr">
        <is>
          <t>Nghỉ phép năm</t>
        </is>
      </c>
      <c r="F12" s="11" t="inlineStr">
        <is>
          <t>2026-06-22</t>
        </is>
      </c>
      <c r="G12" s="11" t="inlineStr">
        <is>
          <t>2026-06-23</t>
        </is>
      </c>
      <c r="H12" s="12" t="n">
        <v>2</v>
      </c>
      <c r="I12" s="10" t="inlineStr">
        <is>
          <t>Nghỉ phép thường niên</t>
        </is>
      </c>
      <c r="J12" s="10" t="inlineStr">
        <is>
          <t>Nguyễn Văn Hùng</t>
        </is>
      </c>
      <c r="K12" s="8" t="inlineStr">
        <is>
          <t>Đã duyệt</t>
        </is>
      </c>
    </row>
    <row r="13" ht="20" customHeight="1">
      <c r="A13" s="4" t="inlineStr">
        <is>
          <t>NP-2026-0298</t>
        </is>
      </c>
      <c r="B13" s="4" t="inlineStr">
        <is>
          <t>TP0007</t>
        </is>
      </c>
      <c r="C13" s="5" t="inlineStr">
        <is>
          <t>Nguyễn Ngọc Bích</t>
        </is>
      </c>
      <c r="D13" s="5" t="inlineStr">
        <is>
          <t>Phòng Hành chính - Nhân sự</t>
        </is>
      </c>
      <c r="E13" s="5" t="inlineStr">
        <is>
          <t>Nghỉ phép năm</t>
        </is>
      </c>
      <c r="F13" s="6" t="inlineStr">
        <is>
          <t>2026-07-06</t>
        </is>
      </c>
      <c r="G13" s="6" t="inlineStr">
        <is>
          <t>2026-07-06</t>
        </is>
      </c>
      <c r="H13" s="7" t="n">
        <v>1</v>
      </c>
      <c r="I13" s="5" t="inlineStr">
        <is>
          <t>Khám sức khỏe tổng quát</t>
        </is>
      </c>
      <c r="J13" s="5" t="inlineStr">
        <is>
          <t>Hà Quang Dũng</t>
        </is>
      </c>
      <c r="K13" s="8" t="inlineStr">
        <is>
          <t>Đã duyệt</t>
        </is>
      </c>
    </row>
    <row r="14" ht="20" customHeight="1">
      <c r="A14" s="9" t="inlineStr">
        <is>
          <t>NP-2026-0312</t>
        </is>
      </c>
      <c r="B14" s="9" t="inlineStr">
        <is>
          <t>TP0020</t>
        </is>
      </c>
      <c r="C14" s="10" t="inlineStr">
        <is>
          <t>Vũ Hoàng Long</t>
        </is>
      </c>
      <c r="D14" s="10" t="inlineStr">
        <is>
          <t>Phòng Kinh doanh &amp; Marketing</t>
        </is>
      </c>
      <c r="E14" s="10" t="inlineStr">
        <is>
          <t>Nghỉ không lương</t>
        </is>
      </c>
      <c r="F14" s="11" t="inlineStr">
        <is>
          <t>2026-07-15</t>
        </is>
      </c>
      <c r="G14" s="11" t="inlineStr">
        <is>
          <t>2026-07-16</t>
        </is>
      </c>
      <c r="H14" s="12" t="n">
        <v>2</v>
      </c>
      <c r="I14" s="10" t="inlineStr">
        <is>
          <t>Giải quyết việc đột xuất ở quê</t>
        </is>
      </c>
      <c r="J14" s="10" t="inlineStr">
        <is>
          <t>Nguyễn Văn Hùng</t>
        </is>
      </c>
      <c r="K14" s="8" t="inlineStr">
        <is>
          <t>Đã duyệt</t>
        </is>
      </c>
    </row>
    <row r="15" ht="20" customHeight="1">
      <c r="A15" s="4" t="inlineStr">
        <is>
          <t>NP-2026-0330</t>
        </is>
      </c>
      <c r="B15" s="4" t="inlineStr">
        <is>
          <t>TP0038</t>
        </is>
      </c>
      <c r="C15" s="5" t="inlineStr">
        <is>
          <t>Lương Ngọc An</t>
        </is>
      </c>
      <c r="D15" s="5" t="inlineStr">
        <is>
          <t>Xưởng Sản xuất &amp; Vận hành</t>
        </is>
      </c>
      <c r="E15" s="5" t="inlineStr">
        <is>
          <t>Nghỉ phép năm</t>
        </is>
      </c>
      <c r="F15" s="6" t="inlineStr">
        <is>
          <t>2026-07-20</t>
        </is>
      </c>
      <c r="G15" s="6" t="inlineStr">
        <is>
          <t>2026-07-21</t>
        </is>
      </c>
      <c r="H15" s="7" t="n">
        <v>2</v>
      </c>
      <c r="I15" s="5" t="inlineStr">
        <is>
          <t>Nghỉ giải quyết việc gia đình</t>
        </is>
      </c>
      <c r="J15" s="5" t="inlineStr">
        <is>
          <t>Nguyễn Khắc Quyền</t>
        </is>
      </c>
      <c r="K15" s="8" t="inlineStr">
        <is>
          <t>Đã duyệt</t>
        </is>
      </c>
    </row>
    <row r="16" ht="20" customHeight="1">
      <c r="A16" s="9" t="inlineStr">
        <is>
          <t>NP-2026-0355</t>
        </is>
      </c>
      <c r="B16" s="9" t="inlineStr">
        <is>
          <t>TP0041</t>
        </is>
      </c>
      <c r="C16" s="10" t="inlineStr">
        <is>
          <t>Bùi Quang Lãm</t>
        </is>
      </c>
      <c r="D16" s="10" t="inlineStr">
        <is>
          <t>Xưởng Sản xuất &amp; Vận hành</t>
        </is>
      </c>
      <c r="E16" s="10" t="inlineStr">
        <is>
          <t>Nghỉ ốm đau ngắn ngày</t>
        </is>
      </c>
      <c r="F16" s="11" t="inlineStr">
        <is>
          <t>2026-07-27</t>
        </is>
      </c>
      <c r="G16" s="11" t="inlineStr">
        <is>
          <t>2026-07-28</t>
        </is>
      </c>
      <c r="H16" s="12" t="n">
        <v>2</v>
      </c>
      <c r="I16" s="10" t="inlineStr">
        <is>
          <t>Nhiễm siêu vi, điều trị tại nhà</t>
        </is>
      </c>
      <c r="J16" s="10" t="inlineStr">
        <is>
          <t>Nguyễn Khắc Quyền</t>
        </is>
      </c>
      <c r="K16" s="8" t="inlineStr">
        <is>
          <t>Đã duyệt</t>
        </is>
      </c>
    </row>
    <row r="17" ht="20" customHeight="1">
      <c r="A17" s="4" t="inlineStr">
        <is>
          <t>NP-2026-0382</t>
        </is>
      </c>
      <c r="B17" s="4" t="inlineStr">
        <is>
          <t>TP0011</t>
        </is>
      </c>
      <c r="C17" s="5" t="inlineStr">
        <is>
          <t>Trần Thùy Dương</t>
        </is>
      </c>
      <c r="D17" s="5" t="inlineStr">
        <is>
          <t>Phòng Tài chính - Kế toán</t>
        </is>
      </c>
      <c r="E17" s="5" t="inlineStr">
        <is>
          <t>Nghỉ phép năm</t>
        </is>
      </c>
      <c r="F17" s="6" t="inlineStr">
        <is>
          <t>2026-08-05</t>
        </is>
      </c>
      <c r="G17" s="6" t="inlineStr">
        <is>
          <t>2026-08-05</t>
        </is>
      </c>
      <c r="H17" s="7" t="n">
        <v>1</v>
      </c>
      <c r="I17" s="5" t="inlineStr">
        <is>
          <t>Đi làm thủ tục hành chính đất đai</t>
        </is>
      </c>
      <c r="J17" s="5" t="inlineStr">
        <is>
          <t>Lê Thu Lan</t>
        </is>
      </c>
      <c r="K17" s="8" t="inlineStr">
        <is>
          <t>Đã duyệt</t>
        </is>
      </c>
    </row>
    <row r="18" ht="20" customHeight="1">
      <c r="A18" s="9" t="inlineStr">
        <is>
          <t>NP-2026-0405</t>
        </is>
      </c>
      <c r="B18" s="9" t="inlineStr">
        <is>
          <t>TP0019</t>
        </is>
      </c>
      <c r="C18" s="10" t="inlineStr">
        <is>
          <t>Trần Hải Yến</t>
        </is>
      </c>
      <c r="D18" s="10" t="inlineStr">
        <is>
          <t>Phòng Kinh doanh &amp; Marketing</t>
        </is>
      </c>
      <c r="E18" s="10" t="inlineStr">
        <is>
          <t>Nghỉ phép năm</t>
        </is>
      </c>
      <c r="F18" s="11" t="inlineStr">
        <is>
          <t>2026-08-12</t>
        </is>
      </c>
      <c r="G18" s="11" t="inlineStr">
        <is>
          <t>2026-08-13</t>
        </is>
      </c>
      <c r="H18" s="12" t="n">
        <v>2</v>
      </c>
      <c r="I18" s="10" t="inlineStr">
        <is>
          <t>Nghỉ bù lịch công tác ngoại tỉnh</t>
        </is>
      </c>
      <c r="J18" s="10" t="inlineStr">
        <is>
          <t>Nguyễn Văn Hùng</t>
        </is>
      </c>
      <c r="K18" s="8" t="inlineStr">
        <is>
          <t>Đã duyệt</t>
        </is>
      </c>
    </row>
    <row r="19" ht="20" customHeight="1">
      <c r="A19" s="4" t="inlineStr">
        <is>
          <t>NP-2026-0420</t>
        </is>
      </c>
      <c r="B19" s="4" t="inlineStr">
        <is>
          <t>TP0029</t>
        </is>
      </c>
      <c r="C19" s="5" t="inlineStr">
        <is>
          <t>Phạm Văn Hiệp</t>
        </is>
      </c>
      <c r="D19" s="5" t="inlineStr">
        <is>
          <t>Phòng Kỹ thuật &amp; Công nghệ</t>
        </is>
      </c>
      <c r="E19" s="5" t="inlineStr">
        <is>
          <t>Nghỉ không lương</t>
        </is>
      </c>
      <c r="F19" s="6" t="inlineStr">
        <is>
          <t>2026-08-18</t>
        </is>
      </c>
      <c r="G19" s="6" t="inlineStr">
        <is>
          <t>2026-08-19</t>
        </is>
      </c>
      <c r="H19" s="7" t="n">
        <v>2</v>
      </c>
      <c r="I19" s="5" t="inlineStr">
        <is>
          <t>Hỗ trợ sửa nhà cho bố mẹ ở quê</t>
        </is>
      </c>
      <c r="J19" s="5" t="inlineStr">
        <is>
          <t>Đỗ Trọng Thắng</t>
        </is>
      </c>
      <c r="K19" s="8" t="inlineStr">
        <is>
          <t>Đã duyệt</t>
        </is>
      </c>
    </row>
    <row r="20" ht="20" customHeight="1">
      <c r="A20" s="9" t="inlineStr">
        <is>
          <t>NP-2026-0435</t>
        </is>
      </c>
      <c r="B20" s="9" t="inlineStr">
        <is>
          <t>TP0043</t>
        </is>
      </c>
      <c r="C20" s="10" t="inlineStr">
        <is>
          <t>Trần Đình Quý</t>
        </is>
      </c>
      <c r="D20" s="10" t="inlineStr">
        <is>
          <t>Xưởng Sản xuất &amp; Vận hành</t>
        </is>
      </c>
      <c r="E20" s="10" t="inlineStr">
        <is>
          <t>Nghỉ phép năm</t>
        </is>
      </c>
      <c r="F20" s="11" t="inlineStr">
        <is>
          <t>2026-08-24</t>
        </is>
      </c>
      <c r="G20" s="11" t="inlineStr">
        <is>
          <t>2026-08-25</t>
        </is>
      </c>
      <c r="H20" s="12" t="n">
        <v>2</v>
      </c>
      <c r="I20" s="10" t="inlineStr">
        <is>
          <t>Về quê có tang họ hàng xa</t>
        </is>
      </c>
      <c r="J20" s="10" t="inlineStr">
        <is>
          <t>Nguyễn Khắc Quyền</t>
        </is>
      </c>
      <c r="K20" s="8" t="inlineStr">
        <is>
          <t>Đã duyệt</t>
        </is>
      </c>
    </row>
    <row r="21" ht="20" customHeight="1">
      <c r="A21" s="4" t="inlineStr">
        <is>
          <t>NP-2026-0460</t>
        </is>
      </c>
      <c r="B21" s="4" t="inlineStr">
        <is>
          <t>TP0006</t>
        </is>
      </c>
      <c r="C21" s="5" t="inlineStr">
        <is>
          <t>Vũ Phương Linh</t>
        </is>
      </c>
      <c r="D21" s="5" t="inlineStr">
        <is>
          <t>Phòng Hành chính - Nhân sự</t>
        </is>
      </c>
      <c r="E21" s="5" t="inlineStr">
        <is>
          <t>Nghỉ phép năm</t>
        </is>
      </c>
      <c r="F21" s="6" t="inlineStr">
        <is>
          <t>2026-09-08</t>
        </is>
      </c>
      <c r="G21" s="6" t="inlineStr">
        <is>
          <t>2026-09-08</t>
        </is>
      </c>
      <c r="H21" s="7" t="n">
        <v>1</v>
      </c>
      <c r="I21" s="5" t="inlineStr">
        <is>
          <t>Khám thai định kỳ</t>
        </is>
      </c>
      <c r="J21" s="5" t="inlineStr">
        <is>
          <t>Hà Quang Dũng</t>
        </is>
      </c>
      <c r="K21" s="8" t="inlineStr">
        <is>
          <t>Đã duyệt</t>
        </is>
      </c>
    </row>
    <row r="22" ht="20" customHeight="1">
      <c r="A22" s="9" t="inlineStr">
        <is>
          <t>NP-2026-0475</t>
        </is>
      </c>
      <c r="B22" s="9" t="inlineStr">
        <is>
          <t>TP0015</t>
        </is>
      </c>
      <c r="C22" s="10" t="inlineStr">
        <is>
          <t>Nguyễn Việt Kiên</t>
        </is>
      </c>
      <c r="D22" s="10" t="inlineStr">
        <is>
          <t>Phòng Kinh doanh &amp; Marketing</t>
        </is>
      </c>
      <c r="E22" s="10" t="inlineStr">
        <is>
          <t>Nghỉ phép năm</t>
        </is>
      </c>
      <c r="F22" s="11" t="inlineStr">
        <is>
          <t>2026-09-14</t>
        </is>
      </c>
      <c r="G22" s="11" t="inlineStr">
        <is>
          <t>2026-09-15</t>
        </is>
      </c>
      <c r="H22" s="12" t="n">
        <v>2</v>
      </c>
      <c r="I22" s="10" t="inlineStr">
        <is>
          <t>Nghỉ phép cá nhân</t>
        </is>
      </c>
      <c r="J22" s="10" t="inlineStr">
        <is>
          <t>Nguyễn Văn Hùng</t>
        </is>
      </c>
      <c r="K22" s="8" t="inlineStr">
        <is>
          <t>Đã duyệt</t>
        </is>
      </c>
    </row>
    <row r="23" ht="20" customHeight="1">
      <c r="A23" s="4" t="inlineStr">
        <is>
          <t>NP-2026-0488</t>
        </is>
      </c>
      <c r="B23" s="4" t="inlineStr">
        <is>
          <t>TP0022</t>
        </is>
      </c>
      <c r="C23" s="5" t="inlineStr">
        <is>
          <t>Lý Mỹ Duyên</t>
        </is>
      </c>
      <c r="D23" s="5" t="inlineStr">
        <is>
          <t>Phòng Kinh doanh &amp; Marketing</t>
        </is>
      </c>
      <c r="E23" s="5" t="inlineStr">
        <is>
          <t>Nghỉ ốm đau ngắn ngày</t>
        </is>
      </c>
      <c r="F23" s="6" t="inlineStr">
        <is>
          <t>2026-09-18</t>
        </is>
      </c>
      <c r="G23" s="6" t="inlineStr">
        <is>
          <t>2026-09-19</t>
        </is>
      </c>
      <c r="H23" s="7" t="n">
        <v>2</v>
      </c>
      <c r="I23" s="5" t="inlineStr">
        <is>
          <t>Viêm họng cấp, có đơn thuốc phòng khám</t>
        </is>
      </c>
      <c r="J23" s="5" t="inlineStr">
        <is>
          <t>Nguyễn Văn Hùng</t>
        </is>
      </c>
      <c r="K23" s="8" t="inlineStr">
        <is>
          <t>Đã duyệt</t>
        </is>
      </c>
    </row>
    <row r="24" ht="20" customHeight="1">
      <c r="A24" s="9" t="inlineStr">
        <is>
          <t>NP-2026-0495</t>
        </is>
      </c>
      <c r="B24" s="9" t="inlineStr">
        <is>
          <t>TP0036</t>
        </is>
      </c>
      <c r="C24" s="10" t="inlineStr">
        <is>
          <t>Lê Kim Thơm</t>
        </is>
      </c>
      <c r="D24" s="10" t="inlineStr">
        <is>
          <t>Xưởng Sản xuất &amp; Vận hành</t>
        </is>
      </c>
      <c r="E24" s="10" t="inlineStr">
        <is>
          <t>Nghỉ phép năm</t>
        </is>
      </c>
      <c r="F24" s="11" t="inlineStr">
        <is>
          <t>2026-09-22</t>
        </is>
      </c>
      <c r="G24" s="11" t="inlineStr">
        <is>
          <t>2026-09-22</t>
        </is>
      </c>
      <c r="H24" s="12" t="n">
        <v>1</v>
      </c>
      <c r="I24" s="10" t="inlineStr">
        <is>
          <t>Việc cá nhân</t>
        </is>
      </c>
      <c r="J24" s="10" t="inlineStr">
        <is>
          <t>Nguyễn Khắc Quyền</t>
        </is>
      </c>
      <c r="K24" s="8" t="inlineStr">
        <is>
          <t>Đã duyệt</t>
        </is>
      </c>
    </row>
    <row r="25" ht="20" customHeight="1">
      <c r="A25" s="4" t="inlineStr">
        <is>
          <t>NP-2026-0502</t>
        </is>
      </c>
      <c r="B25" s="4" t="inlineStr">
        <is>
          <t>TP0044</t>
        </is>
      </c>
      <c r="C25" s="5" t="inlineStr">
        <is>
          <t>Phạm Khánh Huyền</t>
        </is>
      </c>
      <c r="D25" s="5" t="inlineStr">
        <is>
          <t>Xưởng Sản xuất &amp; Vận hành</t>
        </is>
      </c>
      <c r="E25" s="5" t="inlineStr">
        <is>
          <t>Nghỉ không lương</t>
        </is>
      </c>
      <c r="F25" s="6" t="inlineStr">
        <is>
          <t>2026-09-25</t>
        </is>
      </c>
      <c r="G25" s="6" t="inlineStr">
        <is>
          <t>2026-09-26</t>
        </is>
      </c>
      <c r="H25" s="7" t="n">
        <v>2</v>
      </c>
      <c r="I25" s="5" t="inlineStr">
        <is>
          <t>Việc gia đình đột xuất</t>
        </is>
      </c>
      <c r="J25" s="5" t="inlineStr">
        <is>
          <t>Nguyễn Khắc Quyền</t>
        </is>
      </c>
      <c r="K25" s="8" t="inlineStr">
        <is>
          <t>Đã duyệt</t>
        </is>
      </c>
    </row>
    <row r="26" ht="20" customHeight="1">
      <c r="A26" s="9" t="inlineStr">
        <is>
          <t>NP-2026-0515</t>
        </is>
      </c>
      <c r="B26" s="9" t="inlineStr">
        <is>
          <t>TP0012</t>
        </is>
      </c>
      <c r="C26" s="10" t="inlineStr">
        <is>
          <t>Phan Thanh Hoa</t>
        </is>
      </c>
      <c r="D26" s="10" t="inlineStr">
        <is>
          <t>Phòng Tài chính - Kế toán</t>
        </is>
      </c>
      <c r="E26" s="10" t="inlineStr">
        <is>
          <t>Nghỉ phép năm</t>
        </is>
      </c>
      <c r="F26" s="11" t="inlineStr">
        <is>
          <t>2026-10-02</t>
        </is>
      </c>
      <c r="G26" s="11" t="inlineStr">
        <is>
          <t>2026-10-03</t>
        </is>
      </c>
      <c r="H26" s="12" t="n">
        <v>2</v>
      </c>
      <c r="I26" s="10" t="inlineStr">
        <is>
          <t>Đi đám cưới em gái ruột</t>
        </is>
      </c>
      <c r="J26" s="10" t="inlineStr">
        <is>
          <t>Lê Thu Lan</t>
        </is>
      </c>
      <c r="K26" s="13" t="inlineStr">
        <is>
          <t>Chờ duyệt</t>
        </is>
      </c>
    </row>
    <row r="27" ht="20" customHeight="1">
      <c r="A27" s="4" t="inlineStr">
        <is>
          <t>NP-2026-0518</t>
        </is>
      </c>
      <c r="B27" s="4" t="inlineStr">
        <is>
          <t>TP0028</t>
        </is>
      </c>
      <c r="C27" s="5" t="inlineStr">
        <is>
          <t>Nguyễn Công Tuấn</t>
        </is>
      </c>
      <c r="D27" s="5" t="inlineStr">
        <is>
          <t>Phòng Kỹ thuật &amp; Công nghệ</t>
        </is>
      </c>
      <c r="E27" s="5" t="inlineStr">
        <is>
          <t>Nghỉ phép năm</t>
        </is>
      </c>
      <c r="F27" s="6" t="inlineStr">
        <is>
          <t>2026-10-05</t>
        </is>
      </c>
      <c r="G27" s="6" t="inlineStr">
        <is>
          <t>2026-10-06</t>
        </is>
      </c>
      <c r="H27" s="7" t="n">
        <v>2</v>
      </c>
      <c r="I27" s="5" t="inlineStr">
        <is>
          <t>Khám sức khỏe chuyên khoa</t>
        </is>
      </c>
      <c r="J27" s="5" t="inlineStr">
        <is>
          <t>Đỗ Trọng Thắng</t>
        </is>
      </c>
      <c r="K27" s="13" t="inlineStr">
        <is>
          <t>Chờ duyệt</t>
        </is>
      </c>
    </row>
    <row r="28" ht="20" customHeight="1">
      <c r="A28" s="9" t="inlineStr">
        <is>
          <t>NP-2026-0520</t>
        </is>
      </c>
      <c r="B28" s="9" t="inlineStr">
        <is>
          <t>TP0040</t>
        </is>
      </c>
      <c r="C28" s="10" t="inlineStr">
        <is>
          <t>Nguyễn Văn Minh</t>
        </is>
      </c>
      <c r="D28" s="10" t="inlineStr">
        <is>
          <t>Xưởng Sản xuất &amp; Vận hành</t>
        </is>
      </c>
      <c r="E28" s="10" t="inlineStr">
        <is>
          <t>Nghỉ không lương</t>
        </is>
      </c>
      <c r="F28" s="11" t="inlineStr">
        <is>
          <t>2026-10-08</t>
        </is>
      </c>
      <c r="G28" s="11" t="inlineStr">
        <is>
          <t>2026-10-09</t>
        </is>
      </c>
      <c r="H28" s="12" t="n">
        <v>2</v>
      </c>
      <c r="I28" s="10" t="inlineStr">
        <is>
          <t>Việc gia đình ở quê Phú Thọ</t>
        </is>
      </c>
      <c r="J28" s="10" t="inlineStr">
        <is>
          <t>Nguyễn Khắc Quyền</t>
        </is>
      </c>
      <c r="K28" s="13" t="inlineStr">
        <is>
          <t>Chờ duyệt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21" customWidth="1" min="2" max="2"/>
    <col width="32" customWidth="1" min="3" max="3"/>
    <col width="19" customWidth="1" min="4" max="4"/>
    <col width="18" customWidth="1" min="5" max="5"/>
    <col width="22" customWidth="1" min="6" max="6"/>
    <col width="154" customWidth="1" min="7" max="7"/>
    <col width="12" customWidth="1" min="8" max="8"/>
    <col width="33" customWidth="1" min="9" max="9"/>
  </cols>
  <sheetData>
    <row r="1">
      <c r="A1" s="1" t="inlineStr">
        <is>
          <t>BẢNG TỔNG HỢP QUỸ PHÉP NĂM 2026 CỦA NHÂN VIÊN</t>
        </is>
      </c>
    </row>
    <row r="2"/>
    <row r="3" ht="25" customHeight="1">
      <c r="A3" s="14" t="inlineStr">
        <is>
          <t>Mã NV</t>
        </is>
      </c>
      <c r="B3" s="14" t="inlineStr">
        <is>
          <t>Họ và tên</t>
        </is>
      </c>
      <c r="C3" s="14" t="inlineStr">
        <is>
          <t>Phòng ban</t>
        </is>
      </c>
      <c r="D3" s="14" t="inlineStr">
        <is>
          <t>Phép tiêu chuẩn</t>
        </is>
      </c>
      <c r="E3" s="14" t="inlineStr">
        <is>
          <t>Phép thâm niên</t>
        </is>
      </c>
      <c r="F3" s="14" t="inlineStr">
        <is>
          <t>Tổng quỹ phép 2026</t>
        </is>
      </c>
      <c r="G3" s="14" t="inlineStr">
        <is>
          <t>Đã sử dụng</t>
        </is>
      </c>
      <c r="H3" s="14" t="inlineStr">
        <is>
          <t>Còn lại</t>
        </is>
      </c>
      <c r="I3" s="14" t="inlineStr">
        <is>
          <t>Ghi chú</t>
        </is>
      </c>
    </row>
    <row r="4" ht="20" customHeight="1">
      <c r="A4" s="9" t="inlineStr">
        <is>
          <t>TP0001</t>
        </is>
      </c>
      <c r="B4" s="10" t="inlineStr">
        <is>
          <t>Phạm Thái Hùng</t>
        </is>
      </c>
      <c r="C4" s="10" t="inlineStr">
        <is>
          <t>Ban Giám đốc</t>
        </is>
      </c>
      <c r="D4" s="11" t="n">
        <v>12</v>
      </c>
      <c r="E4" s="11" t="n">
        <v>1</v>
      </c>
      <c r="F4" s="11">
        <f>D4+E4</f>
        <v/>
      </c>
      <c r="G4" s="11">
        <f>SUMIFS(Theo_doi_don_nghi!H5:H28, Theo_doi_don_nghi!B5:B28, "TP0001", Theo_doi_don_nghi!E5:E28, "Nghỉ phép năm", Theo_doi_don_nghi!K5:K28, "Đã duyệt")</f>
        <v/>
      </c>
      <c r="H4" s="11">
        <f>F4-G4</f>
        <v/>
      </c>
      <c r="I4" s="10" t="inlineStr">
        <is>
          <t>Bình thường</t>
        </is>
      </c>
    </row>
    <row r="5" ht="20" customHeight="1">
      <c r="A5" s="4" t="inlineStr">
        <is>
          <t>TP0002</t>
        </is>
      </c>
      <c r="B5" s="5" t="inlineStr">
        <is>
          <t>Nguyễn Minh Tuấn</t>
        </is>
      </c>
      <c r="C5" s="5" t="inlineStr">
        <is>
          <t>Ban Giám đốc</t>
        </is>
      </c>
      <c r="D5" s="6" t="n">
        <v>12</v>
      </c>
      <c r="E5" s="6" t="n">
        <v>1</v>
      </c>
      <c r="F5" s="6">
        <f>D5+E5</f>
        <v/>
      </c>
      <c r="G5" s="6">
        <f>SUMIFS(Theo_doi_don_nghi!H5:H28, Theo_doi_don_nghi!B5:B28, "TP0002", Theo_doi_don_nghi!E5:E28, "Nghỉ phép năm", Theo_doi_don_nghi!K5:K28, "Đã duyệt")</f>
        <v/>
      </c>
      <c r="H5" s="6">
        <f>F5-G5</f>
        <v/>
      </c>
      <c r="I5" s="5" t="inlineStr">
        <is>
          <t>Bình thường</t>
        </is>
      </c>
    </row>
    <row r="6" ht="20" customHeight="1">
      <c r="A6" s="9" t="inlineStr">
        <is>
          <t>TP0003</t>
        </is>
      </c>
      <c r="B6" s="10" t="inlineStr">
        <is>
          <t>Trần Mai Phương</t>
        </is>
      </c>
      <c r="C6" s="10" t="inlineStr">
        <is>
          <t>Ban Giám đốc</t>
        </is>
      </c>
      <c r="D6" s="11" t="n">
        <v>12</v>
      </c>
      <c r="E6" s="11" t="n">
        <v>0</v>
      </c>
      <c r="F6" s="11">
        <f>D6+E6</f>
        <v/>
      </c>
      <c r="G6" s="11">
        <f>SUMIFS(Theo_doi_don_nghi!H5:H28, Theo_doi_don_nghi!B5:B28, "TP0003", Theo_doi_don_nghi!E5:E28, "Nghỉ phép năm", Theo_doi_don_nghi!K5:K28, "Đã duyệt")</f>
        <v/>
      </c>
      <c r="H6" s="11">
        <f>F6-G6</f>
        <v/>
      </c>
      <c r="I6" s="10" t="inlineStr">
        <is>
          <t>Bình thường</t>
        </is>
      </c>
    </row>
    <row r="7" ht="20" customHeight="1">
      <c r="A7" s="4" t="inlineStr">
        <is>
          <t>TP0004</t>
        </is>
      </c>
      <c r="B7" s="5" t="inlineStr">
        <is>
          <t>Hà Quang Dũng</t>
        </is>
      </c>
      <c r="C7" s="5" t="inlineStr">
        <is>
          <t>Phòng Hành chính - Nhân sự</t>
        </is>
      </c>
      <c r="D7" s="6" t="n">
        <v>12</v>
      </c>
      <c r="E7" s="6" t="n">
        <v>1</v>
      </c>
      <c r="F7" s="6">
        <f>D7+E7</f>
        <v/>
      </c>
      <c r="G7" s="6">
        <f>SUMIFS(Theo_doi_don_nghi!H5:H28, Theo_doi_don_nghi!B5:B28, "TP0004", Theo_doi_don_nghi!E5:E28, "Nghỉ phép năm", Theo_doi_don_nghi!K5:K28, "Đã duyệt")</f>
        <v/>
      </c>
      <c r="H7" s="6">
        <f>F7-G7</f>
        <v/>
      </c>
      <c r="I7" s="5" t="inlineStr">
        <is>
          <t>Bình thường</t>
        </is>
      </c>
    </row>
    <row r="8" ht="20" customHeight="1">
      <c r="A8" s="9" t="inlineStr">
        <is>
          <t>TP0005</t>
        </is>
      </c>
      <c r="B8" s="10" t="inlineStr">
        <is>
          <t>Đỗ Thị Quỳnh Nga</t>
        </is>
      </c>
      <c r="C8" s="10" t="inlineStr">
        <is>
          <t>Phòng Hành chính - Nhân sự</t>
        </is>
      </c>
      <c r="D8" s="11" t="n">
        <v>12</v>
      </c>
      <c r="E8" s="11" t="n">
        <v>0</v>
      </c>
      <c r="F8" s="11">
        <f>D8+E8</f>
        <v/>
      </c>
      <c r="G8" s="11">
        <f>SUMIFS(Theo_doi_don_nghi!H5:H28, Theo_doi_don_nghi!B5:B28, "TP0005", Theo_doi_don_nghi!E5:E28, "Nghỉ phép năm", Theo_doi_don_nghi!K5:K28, "Đã duyệt")</f>
        <v/>
      </c>
      <c r="H8" s="11">
        <f>F8-G8</f>
        <v/>
      </c>
      <c r="I8" s="10" t="inlineStr">
        <is>
          <t>Bình thường</t>
        </is>
      </c>
    </row>
    <row r="9" ht="20" customHeight="1">
      <c r="A9" s="4" t="inlineStr">
        <is>
          <t>TP0006</t>
        </is>
      </c>
      <c r="B9" s="5" t="inlineStr">
        <is>
          <t>Vũ Phương Linh</t>
        </is>
      </c>
      <c r="C9" s="5" t="inlineStr">
        <is>
          <t>Phòng Hành chính - Nhân sự</t>
        </is>
      </c>
      <c r="D9" s="6" t="n">
        <v>12</v>
      </c>
      <c r="E9" s="6" t="n">
        <v>0</v>
      </c>
      <c r="F9" s="6">
        <f>D9+E9</f>
        <v/>
      </c>
      <c r="G9" s="6">
        <f>SUMIFS(Theo_doi_don_nghi!H5:H28, Theo_doi_don_nghi!B5:B28, "TP0006", Theo_doi_don_nghi!E5:E28, "Nghỉ phép năm", Theo_doi_don_nghi!K5:K28, "Đã duyệt")</f>
        <v/>
      </c>
      <c r="H9" s="6">
        <f>F9-G9</f>
        <v/>
      </c>
      <c r="I9" s="5" t="inlineStr">
        <is>
          <t>Bình thường</t>
        </is>
      </c>
    </row>
    <row r="10" ht="20" customHeight="1">
      <c r="A10" s="9" t="inlineStr">
        <is>
          <t>TP0007</t>
        </is>
      </c>
      <c r="B10" s="10" t="inlineStr">
        <is>
          <t>Nguyễn Ngọc Bích</t>
        </is>
      </c>
      <c r="C10" s="10" t="inlineStr">
        <is>
          <t>Phòng Hành chính - Nhân sự</t>
        </is>
      </c>
      <c r="D10" s="11" t="n">
        <v>12</v>
      </c>
      <c r="E10" s="11" t="n">
        <v>0</v>
      </c>
      <c r="F10" s="11">
        <f>D10+E10</f>
        <v/>
      </c>
      <c r="G10" s="11">
        <f>SUMIFS(Theo_doi_don_nghi!H5:H28, Theo_doi_don_nghi!B5:B28, "TP0007", Theo_doi_don_nghi!E5:E28, "Nghỉ phép năm", Theo_doi_don_nghi!K5:K28, "Đã duyệt")</f>
        <v/>
      </c>
      <c r="H10" s="11">
        <f>F10-G10</f>
        <v/>
      </c>
      <c r="I10" s="10" t="inlineStr">
        <is>
          <t>Bình thường</t>
        </is>
      </c>
    </row>
    <row r="11" ht="20" customHeight="1">
      <c r="A11" s="4" t="inlineStr">
        <is>
          <t>TP0008</t>
        </is>
      </c>
      <c r="B11" s="5" t="inlineStr">
        <is>
          <t>Hoàng Thu Thảo</t>
        </is>
      </c>
      <c r="C11" s="5" t="inlineStr">
        <is>
          <t>Phòng Hành chính - Nhân sự</t>
        </is>
      </c>
      <c r="D11" s="6" t="n">
        <v>0</v>
      </c>
      <c r="E11" s="6" t="n">
        <v>0</v>
      </c>
      <c r="F11" s="6">
        <f>D11+E11</f>
        <v/>
      </c>
      <c r="G11" s="6">
        <f>SUMIFS(Theo_doi_don_nghi!H5:H28, Theo_doi_don_nghi!B5:B28, "TP0008", Theo_doi_don_nghi!E5:E28, "Nghỉ phép năm", Theo_doi_don_nghi!K5:K28, "Đã duyệt")</f>
        <v/>
      </c>
      <c r="H11" s="6">
        <f>F11-G11</f>
        <v/>
      </c>
      <c r="I11" s="5" t="inlineStr">
        <is>
          <t>Đang thử việc - chưa cấp phép</t>
        </is>
      </c>
    </row>
    <row r="12" ht="20" customHeight="1">
      <c r="A12" s="9" t="inlineStr">
        <is>
          <t>TP0009</t>
        </is>
      </c>
      <c r="B12" s="10" t="inlineStr">
        <is>
          <t>Lê Thu Lan</t>
        </is>
      </c>
      <c r="C12" s="10" t="inlineStr">
        <is>
          <t>Phòng Tài chính - Kế toán</t>
        </is>
      </c>
      <c r="D12" s="11" t="n">
        <v>12</v>
      </c>
      <c r="E12" s="11" t="n">
        <v>1</v>
      </c>
      <c r="F12" s="11">
        <f>D12+E12</f>
        <v/>
      </c>
      <c r="G12" s="11">
        <f>SUMIFS(Theo_doi_don_nghi!H5:H28, Theo_doi_don_nghi!B5:B28, "TP0009", Theo_doi_don_nghi!E5:E28, "Nghỉ phép năm", Theo_doi_don_nghi!K5:K28, "Đã duyệt")</f>
        <v/>
      </c>
      <c r="H12" s="11">
        <f>F12-G12</f>
        <v/>
      </c>
      <c r="I12" s="10" t="inlineStr">
        <is>
          <t>Bình thường</t>
        </is>
      </c>
    </row>
    <row r="13" ht="20" customHeight="1">
      <c r="A13" s="4" t="inlineStr">
        <is>
          <t>TP0010</t>
        </is>
      </c>
      <c r="B13" s="5" t="inlineStr">
        <is>
          <t>Nguyễn Bích Thủy</t>
        </is>
      </c>
      <c r="C13" s="5" t="inlineStr">
        <is>
          <t>Phòng Tài chính - Kế toán</t>
        </is>
      </c>
      <c r="D13" s="6" t="n">
        <v>12</v>
      </c>
      <c r="E13" s="6" t="n">
        <v>0</v>
      </c>
      <c r="F13" s="6">
        <f>D13+E13</f>
        <v/>
      </c>
      <c r="G13" s="6">
        <f>SUMIFS(Theo_doi_don_nghi!H5:H28, Theo_doi_don_nghi!B5:B28, "TP0010", Theo_doi_don_nghi!E5:E28, "Nghỉ phép năm", Theo_doi_don_nghi!K5:K28, "Đã duyệt")</f>
        <v/>
      </c>
      <c r="H13" s="6">
        <f>F13-G13</f>
        <v/>
      </c>
      <c r="I13" s="5" t="inlineStr">
        <is>
          <t>Bình thường</t>
        </is>
      </c>
    </row>
    <row r="14" ht="20" customHeight="1">
      <c r="A14" s="9" t="inlineStr">
        <is>
          <t>TP0011</t>
        </is>
      </c>
      <c r="B14" s="10" t="inlineStr">
        <is>
          <t>Trần Thùy Dương</t>
        </is>
      </c>
      <c r="C14" s="10" t="inlineStr">
        <is>
          <t>Phòng Tài chính - Kế toán</t>
        </is>
      </c>
      <c r="D14" s="11" t="n">
        <v>12</v>
      </c>
      <c r="E14" s="11" t="n">
        <v>0</v>
      </c>
      <c r="F14" s="11">
        <f>D14+E14</f>
        <v/>
      </c>
      <c r="G14" s="11">
        <f>SUMIFS(Theo_doi_don_nghi!H5:H28, Theo_doi_don_nghi!B5:B28, "TP0011", Theo_doi_don_nghi!E5:E28, "Nghỉ phép năm", Theo_doi_don_nghi!K5:K28, "Đã duyệt")</f>
        <v/>
      </c>
      <c r="H14" s="11">
        <f>F14-G14</f>
        <v/>
      </c>
      <c r="I14" s="10" t="inlineStr">
        <is>
          <t>Bình thường</t>
        </is>
      </c>
    </row>
    <row r="15" ht="20" customHeight="1">
      <c r="A15" s="4" t="inlineStr">
        <is>
          <t>TP0012</t>
        </is>
      </c>
      <c r="B15" s="5" t="inlineStr">
        <is>
          <t>Phan Thanh Hoa</t>
        </is>
      </c>
      <c r="C15" s="5" t="inlineStr">
        <is>
          <t>Phòng Tài chính - Kế toán</t>
        </is>
      </c>
      <c r="D15" s="6" t="n">
        <v>12</v>
      </c>
      <c r="E15" s="6" t="n">
        <v>0</v>
      </c>
      <c r="F15" s="6">
        <f>D15+E15</f>
        <v/>
      </c>
      <c r="G15" s="6">
        <f>SUMIFS(Theo_doi_don_nghi!H5:H28, Theo_doi_don_nghi!B5:B28, "TP0012", Theo_doi_don_nghi!E5:E28, "Nghỉ phép năm", Theo_doi_don_nghi!K5:K28, "Đã duyệt")</f>
        <v/>
      </c>
      <c r="H15" s="6">
        <f>F15-G15</f>
        <v/>
      </c>
      <c r="I15" s="5" t="inlineStr">
        <is>
          <t>Bình thường</t>
        </is>
      </c>
    </row>
    <row r="16" ht="20" customHeight="1">
      <c r="A16" s="9" t="inlineStr">
        <is>
          <t>TP0013</t>
        </is>
      </c>
      <c r="B16" s="10" t="inlineStr">
        <is>
          <t>Bùi Văn Khôi</t>
        </is>
      </c>
      <c r="C16" s="10" t="inlineStr">
        <is>
          <t>Phòng Tài chính - Kế toán</t>
        </is>
      </c>
      <c r="D16" s="11" t="n">
        <v>12</v>
      </c>
      <c r="E16" s="11" t="n">
        <v>0</v>
      </c>
      <c r="F16" s="11">
        <f>D16+E16</f>
        <v/>
      </c>
      <c r="G16" s="11">
        <f>SUMIFS(Theo_doi_don_nghi!H5:H28, Theo_doi_don_nghi!B5:B28, "TP0013", Theo_doi_don_nghi!E5:E28, "Nghỉ phép năm", Theo_doi_don_nghi!K5:K28, "Đã duyệt")</f>
        <v/>
      </c>
      <c r="H16" s="11">
        <f>F16-G16</f>
        <v/>
      </c>
      <c r="I16" s="10" t="inlineStr">
        <is>
          <t>Bình thường</t>
        </is>
      </c>
    </row>
    <row r="17" ht="20" customHeight="1">
      <c r="A17" s="4" t="inlineStr">
        <is>
          <t>TP0014</t>
        </is>
      </c>
      <c r="B17" s="5" t="inlineStr">
        <is>
          <t>Nguyễn Văn Hùng</t>
        </is>
      </c>
      <c r="C17" s="5" t="inlineStr">
        <is>
          <t>Phòng Kinh doanh &amp; Marketing</t>
        </is>
      </c>
      <c r="D17" s="6" t="n">
        <v>12</v>
      </c>
      <c r="E17" s="6" t="n">
        <v>1</v>
      </c>
      <c r="F17" s="6">
        <f>D17+E17</f>
        <v/>
      </c>
      <c r="G17" s="6">
        <f>SUMIFS(Theo_doi_don_nghi!H5:H28, Theo_doi_don_nghi!B5:B28, "TP0014", Theo_doi_don_nghi!E5:E28, "Nghỉ phép năm", Theo_doi_don_nghi!K5:K28, "Đã duyệt")</f>
        <v/>
      </c>
      <c r="H17" s="6">
        <f>F17-G17</f>
        <v/>
      </c>
      <c r="I17" s="5" t="inlineStr">
        <is>
          <t>Bình thường</t>
        </is>
      </c>
    </row>
    <row r="18" ht="20" customHeight="1">
      <c r="A18" s="9" t="inlineStr">
        <is>
          <t>TP0015</t>
        </is>
      </c>
      <c r="B18" s="10" t="inlineStr">
        <is>
          <t>Nguyễn Việt Kiên</t>
        </is>
      </c>
      <c r="C18" s="10" t="inlineStr">
        <is>
          <t>Phòng Kinh doanh &amp; Marketing</t>
        </is>
      </c>
      <c r="D18" s="11" t="n">
        <v>12</v>
      </c>
      <c r="E18" s="11" t="n">
        <v>0</v>
      </c>
      <c r="F18" s="11">
        <f>D18+E18</f>
        <v/>
      </c>
      <c r="G18" s="11">
        <f>SUMIFS(Theo_doi_don_nghi!H5:H28, Theo_doi_don_nghi!B5:B28, "TP0015", Theo_doi_don_nghi!E5:E28, "Nghỉ phép năm", Theo_doi_don_nghi!K5:K28, "Đã duyệt")</f>
        <v/>
      </c>
      <c r="H18" s="11">
        <f>F18-G18</f>
        <v/>
      </c>
      <c r="I18" s="10" t="inlineStr">
        <is>
          <t>Bình thường</t>
        </is>
      </c>
    </row>
    <row r="19" ht="20" customHeight="1">
      <c r="A19" s="4" t="inlineStr">
        <is>
          <t>TP0016</t>
        </is>
      </c>
      <c r="B19" s="5" t="inlineStr">
        <is>
          <t>Đặng Minh Nam</t>
        </is>
      </c>
      <c r="C19" s="5" t="inlineStr">
        <is>
          <t>Phòng Kinh doanh &amp; Marketing</t>
        </is>
      </c>
      <c r="D19" s="6" t="n">
        <v>12</v>
      </c>
      <c r="E19" s="6" t="n">
        <v>0</v>
      </c>
      <c r="F19" s="6">
        <f>D19+E19</f>
        <v/>
      </c>
      <c r="G19" s="6">
        <f>SUMIFS(Theo_doi_don_nghi!H5:H28, Theo_doi_don_nghi!B5:B28, "TP0016", Theo_doi_don_nghi!E5:E28, "Nghỉ phép năm", Theo_doi_don_nghi!K5:K28, "Đã duyệt")</f>
        <v/>
      </c>
      <c r="H19" s="6">
        <f>F19-G19</f>
        <v/>
      </c>
      <c r="I19" s="5" t="inlineStr">
        <is>
          <t>Bình thường</t>
        </is>
      </c>
    </row>
    <row r="20" ht="20" customHeight="1">
      <c r="A20" s="9" t="inlineStr">
        <is>
          <t>TP0017</t>
        </is>
      </c>
      <c r="B20" s="10" t="inlineStr">
        <is>
          <t>Lê Diệu Linh</t>
        </is>
      </c>
      <c r="C20" s="10" t="inlineStr">
        <is>
          <t>Phòng Kinh doanh &amp; Marketing</t>
        </is>
      </c>
      <c r="D20" s="11" t="n">
        <v>12</v>
      </c>
      <c r="E20" s="11" t="n">
        <v>0</v>
      </c>
      <c r="F20" s="11">
        <f>D20+E20</f>
        <v/>
      </c>
      <c r="G20" s="11">
        <f>SUMIFS(Theo_doi_don_nghi!H5:H28, Theo_doi_don_nghi!B5:B28, "TP0017", Theo_doi_don_nghi!E5:E28, "Nghỉ phép năm", Theo_doi_don_nghi!K5:K28, "Đã duyệt")</f>
        <v/>
      </c>
      <c r="H20" s="11">
        <f>F20-G20</f>
        <v/>
      </c>
      <c r="I20" s="10" t="inlineStr">
        <is>
          <t>Bình thường</t>
        </is>
      </c>
    </row>
    <row r="21" ht="20" customHeight="1">
      <c r="A21" s="4" t="inlineStr">
        <is>
          <t>TP0018</t>
        </is>
      </c>
      <c r="B21" s="5" t="inlineStr">
        <is>
          <t>Phạm Quốc Bảo</t>
        </is>
      </c>
      <c r="C21" s="5" t="inlineStr">
        <is>
          <t>Phòng Kinh doanh &amp; Marketing</t>
        </is>
      </c>
      <c r="D21" s="6" t="n">
        <v>12</v>
      </c>
      <c r="E21" s="6" t="n">
        <v>0</v>
      </c>
      <c r="F21" s="6">
        <f>D21+E21</f>
        <v/>
      </c>
      <c r="G21" s="6">
        <f>SUMIFS(Theo_doi_don_nghi!H5:H28, Theo_doi_don_nghi!B5:B28, "TP0018", Theo_doi_don_nghi!E5:E28, "Nghỉ phép năm", Theo_doi_don_nghi!K5:K28, "Đã duyệt")</f>
        <v/>
      </c>
      <c r="H21" s="6">
        <f>F21-G21</f>
        <v/>
      </c>
      <c r="I21" s="5" t="inlineStr">
        <is>
          <t>Bình thường</t>
        </is>
      </c>
    </row>
    <row r="22" ht="20" customHeight="1">
      <c r="A22" s="9" t="inlineStr">
        <is>
          <t>TP0019</t>
        </is>
      </c>
      <c r="B22" s="10" t="inlineStr">
        <is>
          <t>Trần Hải Yến</t>
        </is>
      </c>
      <c r="C22" s="10" t="inlineStr">
        <is>
          <t>Phòng Kinh doanh &amp; Marketing</t>
        </is>
      </c>
      <c r="D22" s="11" t="n">
        <v>12</v>
      </c>
      <c r="E22" s="11" t="n">
        <v>0</v>
      </c>
      <c r="F22" s="11">
        <f>D22+E22</f>
        <v/>
      </c>
      <c r="G22" s="11">
        <f>SUMIFS(Theo_doi_don_nghi!H5:H28, Theo_doi_don_nghi!B5:B28, "TP0019", Theo_doi_don_nghi!E5:E28, "Nghỉ phép năm", Theo_doi_don_nghi!K5:K28, "Đã duyệt")</f>
        <v/>
      </c>
      <c r="H22" s="11">
        <f>F22-G22</f>
        <v/>
      </c>
      <c r="I22" s="10" t="inlineStr">
        <is>
          <t>Bình thường</t>
        </is>
      </c>
    </row>
    <row r="23" ht="20" customHeight="1">
      <c r="A23" s="4" t="inlineStr">
        <is>
          <t>TP0020</t>
        </is>
      </c>
      <c r="B23" s="5" t="inlineStr">
        <is>
          <t>Vũ Hoàng Long</t>
        </is>
      </c>
      <c r="C23" s="5" t="inlineStr">
        <is>
          <t>Phòng Kinh doanh &amp; Marketing</t>
        </is>
      </c>
      <c r="D23" s="6" t="n">
        <v>12</v>
      </c>
      <c r="E23" s="6" t="n">
        <v>0</v>
      </c>
      <c r="F23" s="6">
        <f>D23+E23</f>
        <v/>
      </c>
      <c r="G23" s="6">
        <f>SUMIFS(Theo_doi_don_nghi!H5:H28, Theo_doi_don_nghi!B5:B28, "TP0020", Theo_doi_don_nghi!E5:E28, "Nghỉ phép năm", Theo_doi_don_nghi!K5:K28, "Đã duyệt")</f>
        <v/>
      </c>
      <c r="H23" s="6">
        <f>F23-G23</f>
        <v/>
      </c>
      <c r="I23" s="5" t="inlineStr">
        <is>
          <t>Bình thường</t>
        </is>
      </c>
    </row>
    <row r="24" ht="20" customHeight="1">
      <c r="A24" s="9" t="inlineStr">
        <is>
          <t>TP0021</t>
        </is>
      </c>
      <c r="B24" s="10" t="inlineStr">
        <is>
          <t>Đinh Tuấn Anh</t>
        </is>
      </c>
      <c r="C24" s="10" t="inlineStr">
        <is>
          <t>Phòng Kinh doanh &amp; Marketing</t>
        </is>
      </c>
      <c r="D24" s="11" t="n">
        <v>12</v>
      </c>
      <c r="E24" s="11" t="n">
        <v>0</v>
      </c>
      <c r="F24" s="11">
        <f>D24+E24</f>
        <v/>
      </c>
      <c r="G24" s="11">
        <f>SUMIFS(Theo_doi_don_nghi!H5:H28, Theo_doi_don_nghi!B5:B28, "TP0021", Theo_doi_don_nghi!E5:E28, "Nghỉ phép năm", Theo_doi_don_nghi!K5:K28, "Đã duyệt")</f>
        <v/>
      </c>
      <c r="H24" s="11">
        <f>F24-G24</f>
        <v/>
      </c>
      <c r="I24" s="10" t="inlineStr">
        <is>
          <t>Bình thường</t>
        </is>
      </c>
    </row>
    <row r="25" ht="20" customHeight="1">
      <c r="A25" s="4" t="inlineStr">
        <is>
          <t>TP0022</t>
        </is>
      </c>
      <c r="B25" s="5" t="inlineStr">
        <is>
          <t>Lý Mỹ Duyên</t>
        </is>
      </c>
      <c r="C25" s="5" t="inlineStr">
        <is>
          <t>Phòng Kinh doanh &amp; Marketing</t>
        </is>
      </c>
      <c r="D25" s="6" t="n">
        <v>12</v>
      </c>
      <c r="E25" s="6" t="n">
        <v>0</v>
      </c>
      <c r="F25" s="6">
        <f>D25+E25</f>
        <v/>
      </c>
      <c r="G25" s="6">
        <f>SUMIFS(Theo_doi_don_nghi!H5:H28, Theo_doi_don_nghi!B5:B28, "TP0022", Theo_doi_don_nghi!E5:E28, "Nghỉ phép năm", Theo_doi_don_nghi!K5:K28, "Đã duyệt")</f>
        <v/>
      </c>
      <c r="H25" s="6">
        <f>F25-G25</f>
        <v/>
      </c>
      <c r="I25" s="5" t="inlineStr">
        <is>
          <t>Bình thường</t>
        </is>
      </c>
    </row>
    <row r="26" ht="20" customHeight="1">
      <c r="A26" s="9" t="inlineStr">
        <is>
          <t>TP0023</t>
        </is>
      </c>
      <c r="B26" s="10" t="inlineStr">
        <is>
          <t>Nguyễn Mạnh An</t>
        </is>
      </c>
      <c r="C26" s="10" t="inlineStr">
        <is>
          <t>Phòng Kinh doanh &amp; Marketing</t>
        </is>
      </c>
      <c r="D26" s="11" t="n">
        <v>0</v>
      </c>
      <c r="E26" s="11" t="n">
        <v>0</v>
      </c>
      <c r="F26" s="11">
        <f>D26+E26</f>
        <v/>
      </c>
      <c r="G26" s="11">
        <f>SUMIFS(Theo_doi_don_nghi!H5:H28, Theo_doi_don_nghi!B5:B28, "TP0023", Theo_doi_don_nghi!E5:E28, "Nghỉ phép năm", Theo_doi_don_nghi!K5:K28, "Đã duyệt")</f>
        <v/>
      </c>
      <c r="H26" s="11">
        <f>F26-G26</f>
        <v/>
      </c>
      <c r="I26" s="10" t="inlineStr">
        <is>
          <t>Đang thử việc - chưa cấp phép</t>
        </is>
      </c>
    </row>
    <row r="27" ht="20" customHeight="1">
      <c r="A27" s="4" t="inlineStr">
        <is>
          <t>TP0024</t>
        </is>
      </c>
      <c r="B27" s="5" t="inlineStr">
        <is>
          <t>Dương Thu Trang</t>
        </is>
      </c>
      <c r="C27" s="5" t="inlineStr">
        <is>
          <t>Phòng Kinh doanh &amp; Marketing</t>
        </is>
      </c>
      <c r="D27" s="6" t="n">
        <v>12</v>
      </c>
      <c r="E27" s="6" t="n">
        <v>0</v>
      </c>
      <c r="F27" s="6">
        <f>D27+E27</f>
        <v/>
      </c>
      <c r="G27" s="6">
        <f>SUMIFS(Theo_doi_don_nghi!H5:H28, Theo_doi_don_nghi!B5:B28, "TP0024", Theo_doi_don_nghi!E5:E28, "Nghỉ phép năm", Theo_doi_don_nghi!K5:K28, "Đã duyệt")</f>
        <v/>
      </c>
      <c r="H27" s="6">
        <f>F27-G27</f>
        <v/>
      </c>
      <c r="I27" s="5" t="inlineStr">
        <is>
          <t>Bình thường</t>
        </is>
      </c>
    </row>
    <row r="28" ht="20" customHeight="1">
      <c r="A28" s="9" t="inlineStr">
        <is>
          <t>TP0025</t>
        </is>
      </c>
      <c r="B28" s="10" t="inlineStr">
        <is>
          <t>Đoàn Khánh Linh</t>
        </is>
      </c>
      <c r="C28" s="10" t="inlineStr">
        <is>
          <t>Phòng Kinh doanh &amp; Marketing</t>
        </is>
      </c>
      <c r="D28" s="11" t="n">
        <v>12</v>
      </c>
      <c r="E28" s="11" t="n">
        <v>0</v>
      </c>
      <c r="F28" s="11">
        <f>D28+E28</f>
        <v/>
      </c>
      <c r="G28" s="11">
        <f>SUMIFS(Theo_doi_don_nghi!H5:H28, Theo_doi_don_nghi!B5:B28, "TP0025", Theo_doi_don_nghi!E5:E28, "Nghỉ phép năm", Theo_doi_don_nghi!K5:K28, "Đã duyệt")</f>
        <v/>
      </c>
      <c r="H28" s="11">
        <f>F28-G28</f>
        <v/>
      </c>
      <c r="I28" s="10" t="inlineStr">
        <is>
          <t>Bình thường</t>
        </is>
      </c>
    </row>
    <row r="29" ht="20" customHeight="1">
      <c r="A29" s="4" t="inlineStr">
        <is>
          <t>TP0026</t>
        </is>
      </c>
      <c r="B29" s="5" t="inlineStr">
        <is>
          <t>Đỗ Trọng Thắng</t>
        </is>
      </c>
      <c r="C29" s="5" t="inlineStr">
        <is>
          <t>Phòng Kỹ thuật &amp; Công nghệ</t>
        </is>
      </c>
      <c r="D29" s="6" t="n">
        <v>12</v>
      </c>
      <c r="E29" s="6" t="n">
        <v>1</v>
      </c>
      <c r="F29" s="6">
        <f>D29+E29</f>
        <v/>
      </c>
      <c r="G29" s="6">
        <f>SUMIFS(Theo_doi_don_nghi!H5:H28, Theo_doi_don_nghi!B5:B28, "TP0026", Theo_doi_don_nghi!E5:E28, "Nghỉ phép năm", Theo_doi_don_nghi!K5:K28, "Đã duyệt")</f>
        <v/>
      </c>
      <c r="H29" s="6">
        <f>F29-G29</f>
        <v/>
      </c>
      <c r="I29" s="5" t="inlineStr">
        <is>
          <t>Bình thường</t>
        </is>
      </c>
    </row>
    <row r="30" ht="20" customHeight="1">
      <c r="A30" s="9" t="inlineStr">
        <is>
          <t>TP0027</t>
        </is>
      </c>
      <c r="B30" s="10" t="inlineStr">
        <is>
          <t>Vũ Đình Bách</t>
        </is>
      </c>
      <c r="C30" s="10" t="inlineStr">
        <is>
          <t>Phòng Kỹ thuật &amp; Công nghệ</t>
        </is>
      </c>
      <c r="D30" s="11" t="n">
        <v>12</v>
      </c>
      <c r="E30" s="11" t="n">
        <v>0</v>
      </c>
      <c r="F30" s="11">
        <f>D30+E30</f>
        <v/>
      </c>
      <c r="G30" s="11">
        <f>SUMIFS(Theo_doi_don_nghi!H5:H28, Theo_doi_don_nghi!B5:B28, "TP0027", Theo_doi_don_nghi!E5:E28, "Nghỉ phép năm", Theo_doi_don_nghi!K5:K28, "Đã duyệt")</f>
        <v/>
      </c>
      <c r="H30" s="11">
        <f>F30-G30</f>
        <v/>
      </c>
      <c r="I30" s="10" t="inlineStr">
        <is>
          <t>Bình thường</t>
        </is>
      </c>
    </row>
    <row r="31" ht="20" customHeight="1">
      <c r="A31" s="4" t="inlineStr">
        <is>
          <t>TP0028</t>
        </is>
      </c>
      <c r="B31" s="5" t="inlineStr">
        <is>
          <t>Nguyễn Công Tuấn</t>
        </is>
      </c>
      <c r="C31" s="5" t="inlineStr">
        <is>
          <t>Phòng Kỹ thuật &amp; Công nghệ</t>
        </is>
      </c>
      <c r="D31" s="6" t="n">
        <v>12</v>
      </c>
      <c r="E31" s="6" t="n">
        <v>0</v>
      </c>
      <c r="F31" s="6">
        <f>D31+E31</f>
        <v/>
      </c>
      <c r="G31" s="6">
        <f>SUMIFS(Theo_doi_don_nghi!H5:H28, Theo_doi_don_nghi!B5:B28, "TP0028", Theo_doi_don_nghi!E5:E28, "Nghỉ phép năm", Theo_doi_don_nghi!K5:K28, "Đã duyệt")</f>
        <v/>
      </c>
      <c r="H31" s="6">
        <f>F31-G31</f>
        <v/>
      </c>
      <c r="I31" s="5" t="inlineStr">
        <is>
          <t>Bình thường</t>
        </is>
      </c>
    </row>
    <row r="32" ht="20" customHeight="1">
      <c r="A32" s="9" t="inlineStr">
        <is>
          <t>TP0029</t>
        </is>
      </c>
      <c r="B32" s="10" t="inlineStr">
        <is>
          <t>Phạm Văn Hiệp</t>
        </is>
      </c>
      <c r="C32" s="10" t="inlineStr">
        <is>
          <t>Phòng Kỹ thuật &amp; Công nghệ</t>
        </is>
      </c>
      <c r="D32" s="11" t="n">
        <v>12</v>
      </c>
      <c r="E32" s="11" t="n">
        <v>0</v>
      </c>
      <c r="F32" s="11">
        <f>D32+E32</f>
        <v/>
      </c>
      <c r="G32" s="11">
        <f>SUMIFS(Theo_doi_don_nghi!H5:H28, Theo_doi_don_nghi!B5:B28, "TP0029", Theo_doi_don_nghi!E5:E28, "Nghỉ phép năm", Theo_doi_don_nghi!K5:K28, "Đã duyệt")</f>
        <v/>
      </c>
      <c r="H32" s="11">
        <f>F32-G32</f>
        <v/>
      </c>
      <c r="I32" s="10" t="inlineStr">
        <is>
          <t>Bình thường</t>
        </is>
      </c>
    </row>
    <row r="33" ht="20" customHeight="1">
      <c r="A33" s="4" t="inlineStr">
        <is>
          <t>TP0030</t>
        </is>
      </c>
      <c r="B33" s="5" t="inlineStr">
        <is>
          <t>Trịnh Quang Minh</t>
        </is>
      </c>
      <c r="C33" s="5" t="inlineStr">
        <is>
          <t>Phòng Kỹ thuật &amp; Công nghệ</t>
        </is>
      </c>
      <c r="D33" s="6" t="n">
        <v>12</v>
      </c>
      <c r="E33" s="6" t="n">
        <v>0</v>
      </c>
      <c r="F33" s="6">
        <f>D33+E33</f>
        <v/>
      </c>
      <c r="G33" s="6">
        <f>SUMIFS(Theo_doi_don_nghi!H5:H28, Theo_doi_don_nghi!B5:B28, "TP0030", Theo_doi_don_nghi!E5:E28, "Nghỉ phép năm", Theo_doi_don_nghi!K5:K28, "Đã duyệt")</f>
        <v/>
      </c>
      <c r="H33" s="6">
        <f>F33-G33</f>
        <v/>
      </c>
      <c r="I33" s="5" t="inlineStr">
        <is>
          <t>Bình thường</t>
        </is>
      </c>
    </row>
    <row r="34" ht="20" customHeight="1">
      <c r="A34" s="9" t="inlineStr">
        <is>
          <t>TP0031</t>
        </is>
      </c>
      <c r="B34" s="10" t="inlineStr">
        <is>
          <t>Hoàng Thế Vinh</t>
        </is>
      </c>
      <c r="C34" s="10" t="inlineStr">
        <is>
          <t>Phòng Kỹ thuật &amp; Công nghệ</t>
        </is>
      </c>
      <c r="D34" s="11" t="n">
        <v>12</v>
      </c>
      <c r="E34" s="11" t="n">
        <v>0</v>
      </c>
      <c r="F34" s="11">
        <f>D34+E34</f>
        <v/>
      </c>
      <c r="G34" s="11">
        <f>SUMIFS(Theo_doi_don_nghi!H5:H28, Theo_doi_don_nghi!B5:B28, "TP0031", Theo_doi_don_nghi!E5:E28, "Nghỉ phép năm", Theo_doi_don_nghi!K5:K28, "Đã duyệt")</f>
        <v/>
      </c>
      <c r="H34" s="11">
        <f>F34-G34</f>
        <v/>
      </c>
      <c r="I34" s="10" t="inlineStr">
        <is>
          <t>Bình thường</t>
        </is>
      </c>
    </row>
    <row r="35" ht="20" customHeight="1">
      <c r="A35" s="4" t="inlineStr">
        <is>
          <t>TP0032</t>
        </is>
      </c>
      <c r="B35" s="5" t="inlineStr">
        <is>
          <t>Cao Văn Đạt</t>
        </is>
      </c>
      <c r="C35" s="5" t="inlineStr">
        <is>
          <t>Phòng Kỹ thuật &amp; Công nghệ</t>
        </is>
      </c>
      <c r="D35" s="6" t="n">
        <v>12</v>
      </c>
      <c r="E35" s="6" t="n">
        <v>0</v>
      </c>
      <c r="F35" s="6">
        <f>D35+E35</f>
        <v/>
      </c>
      <c r="G35" s="6">
        <f>SUMIFS(Theo_doi_don_nghi!H5:H28, Theo_doi_don_nghi!B5:B28, "TP0032", Theo_doi_don_nghi!E5:E28, "Nghỉ phép năm", Theo_doi_don_nghi!K5:K28, "Đã duyệt")</f>
        <v/>
      </c>
      <c r="H35" s="6">
        <f>F35-G35</f>
        <v/>
      </c>
      <c r="I35" s="5" t="inlineStr">
        <is>
          <t>Bình thường</t>
        </is>
      </c>
    </row>
    <row r="36" ht="20" customHeight="1">
      <c r="A36" s="9" t="inlineStr">
        <is>
          <t>TP0033</t>
        </is>
      </c>
      <c r="B36" s="10" t="inlineStr">
        <is>
          <t>Nguyễn Khắc Quyền</t>
        </is>
      </c>
      <c r="C36" s="10" t="inlineStr">
        <is>
          <t>Xưởng Sản xuất &amp; Vận hành</t>
        </is>
      </c>
      <c r="D36" s="11" t="n">
        <v>12</v>
      </c>
      <c r="E36" s="11" t="n">
        <v>1</v>
      </c>
      <c r="F36" s="11">
        <f>D36+E36</f>
        <v/>
      </c>
      <c r="G36" s="11">
        <f>SUMIFS(Theo_doi_don_nghi!H5:H28, Theo_doi_don_nghi!B5:B28, "TP0033", Theo_doi_don_nghi!E5:E28, "Nghỉ phép năm", Theo_doi_don_nghi!K5:K28, "Đã duyệt")</f>
        <v/>
      </c>
      <c r="H36" s="11">
        <f>F36-G36</f>
        <v/>
      </c>
      <c r="I36" s="10" t="inlineStr">
        <is>
          <t>Bình thường</t>
        </is>
      </c>
    </row>
    <row r="37" ht="20" customHeight="1">
      <c r="A37" s="4" t="inlineStr">
        <is>
          <t>TP0034</t>
        </is>
      </c>
      <c r="B37" s="5" t="inlineStr">
        <is>
          <t>Trần Văn Bình</t>
        </is>
      </c>
      <c r="C37" s="5" t="inlineStr">
        <is>
          <t>Xưởng Sản xuất &amp; Vận hành</t>
        </is>
      </c>
      <c r="D37" s="6" t="n">
        <v>12</v>
      </c>
      <c r="E37" s="6" t="n">
        <v>0</v>
      </c>
      <c r="F37" s="6">
        <f>D37+E37</f>
        <v/>
      </c>
      <c r="G37" s="6">
        <f>SUMIFS(Theo_doi_don_nghi!H5:H28, Theo_doi_don_nghi!B5:B28, "TP0034", Theo_doi_don_nghi!E5:E28, "Nghỉ phép năm", Theo_doi_don_nghi!K5:K28, "Đã duyệt")</f>
        <v/>
      </c>
      <c r="H37" s="6">
        <f>F37-G37</f>
        <v/>
      </c>
      <c r="I37" s="5" t="inlineStr">
        <is>
          <t>Bình thường</t>
        </is>
      </c>
    </row>
    <row r="38" ht="20" customHeight="1">
      <c r="A38" s="9" t="inlineStr">
        <is>
          <t>TP0035</t>
        </is>
      </c>
      <c r="B38" s="10" t="inlineStr">
        <is>
          <t>Đặng Minh Thịnh</t>
        </is>
      </c>
      <c r="C38" s="10" t="inlineStr">
        <is>
          <t>Xưởng Sản xuất &amp; Vận hành</t>
        </is>
      </c>
      <c r="D38" s="11" t="n">
        <v>12</v>
      </c>
      <c r="E38" s="11" t="n">
        <v>0</v>
      </c>
      <c r="F38" s="11">
        <f>D38+E38</f>
        <v/>
      </c>
      <c r="G38" s="11">
        <f>SUMIFS(Theo_doi_don_nghi!H5:H28, Theo_doi_don_nghi!B5:B28, "TP0035", Theo_doi_don_nghi!E5:E28, "Nghỉ phép năm", Theo_doi_don_nghi!K5:K28, "Đã duyệt")</f>
        <v/>
      </c>
      <c r="H38" s="11">
        <f>F38-G38</f>
        <v/>
      </c>
      <c r="I38" s="10" t="inlineStr">
        <is>
          <t>Bình thường</t>
        </is>
      </c>
    </row>
    <row r="39" ht="20" customHeight="1">
      <c r="A39" s="4" t="inlineStr">
        <is>
          <t>TP0036</t>
        </is>
      </c>
      <c r="B39" s="5" t="inlineStr">
        <is>
          <t>Lê Kim Thơm</t>
        </is>
      </c>
      <c r="C39" s="5" t="inlineStr">
        <is>
          <t>Xưởng Sản xuất &amp; Vận hành</t>
        </is>
      </c>
      <c r="D39" s="6" t="n">
        <v>12</v>
      </c>
      <c r="E39" s="6" t="n">
        <v>0</v>
      </c>
      <c r="F39" s="6">
        <f>D39+E39</f>
        <v/>
      </c>
      <c r="G39" s="6">
        <f>SUMIFS(Theo_doi_don_nghi!H5:H28, Theo_doi_don_nghi!B5:B28, "TP0036", Theo_doi_don_nghi!E5:E28, "Nghỉ phép năm", Theo_doi_don_nghi!K5:K28, "Đã duyệt")</f>
        <v/>
      </c>
      <c r="H39" s="6">
        <f>F39-G39</f>
        <v/>
      </c>
      <c r="I39" s="5" t="inlineStr">
        <is>
          <t>Bình thường</t>
        </is>
      </c>
    </row>
    <row r="40" ht="20" customHeight="1">
      <c r="A40" s="9" t="inlineStr">
        <is>
          <t>TP0037</t>
        </is>
      </c>
      <c r="B40" s="10" t="inlineStr">
        <is>
          <t>Phạm Hồng Thanh</t>
        </is>
      </c>
      <c r="C40" s="10" t="inlineStr">
        <is>
          <t>Xưởng Sản xuất &amp; Vận hành</t>
        </is>
      </c>
      <c r="D40" s="11" t="n">
        <v>12</v>
      </c>
      <c r="E40" s="11" t="n">
        <v>0</v>
      </c>
      <c r="F40" s="11">
        <f>D40+E40</f>
        <v/>
      </c>
      <c r="G40" s="11">
        <f>SUMIFS(Theo_doi_don_nghi!H5:H28, Theo_doi_don_nghi!B5:B28, "TP0037", Theo_doi_don_nghi!E5:E28, "Nghỉ phép năm", Theo_doi_don_nghi!K5:K28, "Đã duyệt")</f>
        <v/>
      </c>
      <c r="H40" s="11">
        <f>F40-G40</f>
        <v/>
      </c>
      <c r="I40" s="10" t="inlineStr">
        <is>
          <t>Bình thường</t>
        </is>
      </c>
    </row>
    <row r="41" ht="20" customHeight="1">
      <c r="A41" s="4" t="inlineStr">
        <is>
          <t>TP0038</t>
        </is>
      </c>
      <c r="B41" s="5" t="inlineStr">
        <is>
          <t>Lương Ngọc An</t>
        </is>
      </c>
      <c r="C41" s="5" t="inlineStr">
        <is>
          <t>Xưởng Sản xuất &amp; Vận hành</t>
        </is>
      </c>
      <c r="D41" s="6" t="n">
        <v>12</v>
      </c>
      <c r="E41" s="6" t="n">
        <v>0</v>
      </c>
      <c r="F41" s="6">
        <f>D41+E41</f>
        <v/>
      </c>
      <c r="G41" s="6">
        <f>SUMIFS(Theo_doi_don_nghi!H5:H28, Theo_doi_don_nghi!B5:B28, "TP0038", Theo_doi_don_nghi!E5:E28, "Nghỉ phép năm", Theo_doi_don_nghi!K5:K28, "Đã duyệt")</f>
        <v/>
      </c>
      <c r="H41" s="6">
        <f>F41-G41</f>
        <v/>
      </c>
      <c r="I41" s="5" t="inlineStr">
        <is>
          <t>Bình thường</t>
        </is>
      </c>
    </row>
    <row r="42" ht="20" customHeight="1">
      <c r="A42" s="9" t="inlineStr">
        <is>
          <t>TP0039</t>
        </is>
      </c>
      <c r="B42" s="10" t="inlineStr">
        <is>
          <t>Vũ Đình Sáng</t>
        </is>
      </c>
      <c r="C42" s="10" t="inlineStr">
        <is>
          <t>Xưởng Sản xuất &amp; Vận hành</t>
        </is>
      </c>
      <c r="D42" s="11" t="n">
        <v>12</v>
      </c>
      <c r="E42" s="11" t="n">
        <v>0</v>
      </c>
      <c r="F42" s="11">
        <f>D42+E42</f>
        <v/>
      </c>
      <c r="G42" s="11">
        <f>SUMIFS(Theo_doi_don_nghi!H5:H28, Theo_doi_don_nghi!B5:B28, "TP0039", Theo_doi_don_nghi!E5:E28, "Nghỉ phép năm", Theo_doi_don_nghi!K5:K28, "Đã duyệt")</f>
        <v/>
      </c>
      <c r="H42" s="11">
        <f>F42-G42</f>
        <v/>
      </c>
      <c r="I42" s="10" t="inlineStr">
        <is>
          <t>Bình thường</t>
        </is>
      </c>
    </row>
    <row r="43" ht="20" customHeight="1">
      <c r="A43" s="4" t="inlineStr">
        <is>
          <t>TP0040</t>
        </is>
      </c>
      <c r="B43" s="5" t="inlineStr">
        <is>
          <t>Nguyễn Văn Minh</t>
        </is>
      </c>
      <c r="C43" s="5" t="inlineStr">
        <is>
          <t>Xưởng Sản xuất &amp; Vận hành</t>
        </is>
      </c>
      <c r="D43" s="6" t="n">
        <v>12</v>
      </c>
      <c r="E43" s="6" t="n">
        <v>0</v>
      </c>
      <c r="F43" s="6">
        <f>D43+E43</f>
        <v/>
      </c>
      <c r="G43" s="6">
        <f>SUMIFS(Theo_doi_don_nghi!H5:H28, Theo_doi_don_nghi!B5:B28, "TP0040", Theo_doi_don_nghi!E5:E28, "Nghỉ phép năm", Theo_doi_don_nghi!K5:K28, "Đã duyệt")</f>
        <v/>
      </c>
      <c r="H43" s="6">
        <f>F43-G43</f>
        <v/>
      </c>
      <c r="I43" s="5" t="inlineStr">
        <is>
          <t>Bình thường</t>
        </is>
      </c>
    </row>
    <row r="44" ht="20" customHeight="1">
      <c r="A44" s="9" t="inlineStr">
        <is>
          <t>TP0041</t>
        </is>
      </c>
      <c r="B44" s="10" t="inlineStr">
        <is>
          <t>Bùi Quang Lãm</t>
        </is>
      </c>
      <c r="C44" s="10" t="inlineStr">
        <is>
          <t>Xưởng Sản xuất &amp; Vận hành</t>
        </is>
      </c>
      <c r="D44" s="11" t="n">
        <v>12</v>
      </c>
      <c r="E44" s="11" t="n">
        <v>0</v>
      </c>
      <c r="F44" s="11">
        <f>D44+E44</f>
        <v/>
      </c>
      <c r="G44" s="11">
        <f>SUMIFS(Theo_doi_don_nghi!H5:H28, Theo_doi_don_nghi!B5:B28, "TP0041", Theo_doi_don_nghi!E5:E28, "Nghỉ phép năm", Theo_doi_don_nghi!K5:K28, "Đã duyệt")</f>
        <v/>
      </c>
      <c r="H44" s="11">
        <f>F44-G44</f>
        <v/>
      </c>
      <c r="I44" s="10" t="inlineStr">
        <is>
          <t>Bình thường</t>
        </is>
      </c>
    </row>
    <row r="45" ht="20" customHeight="1">
      <c r="A45" s="4" t="inlineStr">
        <is>
          <t>TP0042</t>
        </is>
      </c>
      <c r="B45" s="5" t="inlineStr">
        <is>
          <t>Hoàng Kim Oanh</t>
        </is>
      </c>
      <c r="C45" s="5" t="inlineStr">
        <is>
          <t>Xưởng Sản xuất &amp; Vận hành</t>
        </is>
      </c>
      <c r="D45" s="6" t="n">
        <v>12</v>
      </c>
      <c r="E45" s="6" t="n">
        <v>0</v>
      </c>
      <c r="F45" s="6">
        <f>D45+E45</f>
        <v/>
      </c>
      <c r="G45" s="6">
        <f>SUMIFS(Theo_doi_don_nghi!H5:H28, Theo_doi_don_nghi!B5:B28, "TP0042", Theo_doi_don_nghi!E5:E28, "Nghỉ phép năm", Theo_doi_don_nghi!K5:K28, "Đã duyệt")</f>
        <v/>
      </c>
      <c r="H45" s="6">
        <f>F45-G45</f>
        <v/>
      </c>
      <c r="I45" s="5" t="inlineStr">
        <is>
          <t>Bình thường</t>
        </is>
      </c>
    </row>
    <row r="46" ht="20" customHeight="1">
      <c r="A46" s="9" t="inlineStr">
        <is>
          <t>TP0043</t>
        </is>
      </c>
      <c r="B46" s="10" t="inlineStr">
        <is>
          <t>Trần Đình Quý</t>
        </is>
      </c>
      <c r="C46" s="10" t="inlineStr">
        <is>
          <t>Xưởng Sản xuất &amp; Vận hành</t>
        </is>
      </c>
      <c r="D46" s="11" t="n">
        <v>12</v>
      </c>
      <c r="E46" s="11" t="n">
        <v>0</v>
      </c>
      <c r="F46" s="11">
        <f>D46+E46</f>
        <v/>
      </c>
      <c r="G46" s="11">
        <f>SUMIFS(Theo_doi_don_nghi!H5:H28, Theo_doi_don_nghi!B5:B28, "TP0043", Theo_doi_don_nghi!E5:E28, "Nghỉ phép năm", Theo_doi_don_nghi!K5:K28, "Đã duyệt")</f>
        <v/>
      </c>
      <c r="H46" s="11">
        <f>F46-G46</f>
        <v/>
      </c>
      <c r="I46" s="10" t="inlineStr">
        <is>
          <t>Bình thường</t>
        </is>
      </c>
    </row>
    <row r="47" ht="20" customHeight="1">
      <c r="A47" s="4" t="inlineStr">
        <is>
          <t>TP0044</t>
        </is>
      </c>
      <c r="B47" s="5" t="inlineStr">
        <is>
          <t>Phạm Khánh Huyền</t>
        </is>
      </c>
      <c r="C47" s="5" t="inlineStr">
        <is>
          <t>Xưởng Sản xuất &amp; Vận hành</t>
        </is>
      </c>
      <c r="D47" s="6" t="n">
        <v>12</v>
      </c>
      <c r="E47" s="6" t="n">
        <v>0</v>
      </c>
      <c r="F47" s="6">
        <f>D47+E47</f>
        <v/>
      </c>
      <c r="G47" s="6">
        <f>SUMIFS(Theo_doi_don_nghi!H5:H28, Theo_doi_don_nghi!B5:B28, "TP0044", Theo_doi_don_nghi!E5:E28, "Nghỉ phép năm", Theo_doi_don_nghi!K5:K28, "Đã duyệt")</f>
        <v/>
      </c>
      <c r="H47" s="6">
        <f>F47-G47</f>
        <v/>
      </c>
      <c r="I47" s="5" t="inlineStr">
        <is>
          <t>Bình thường</t>
        </is>
      </c>
    </row>
    <row r="48" ht="20" customHeight="1">
      <c r="A48" s="9" t="inlineStr">
        <is>
          <t>TP0045</t>
        </is>
      </c>
      <c r="B48" s="10" t="inlineStr">
        <is>
          <t>Lê Văn Tuấn</t>
        </is>
      </c>
      <c r="C48" s="10" t="inlineStr">
        <is>
          <t>Xưởng Sản xuất &amp; Vận hành</t>
        </is>
      </c>
      <c r="D48" s="11" t="n">
        <v>12</v>
      </c>
      <c r="E48" s="11" t="n">
        <v>0</v>
      </c>
      <c r="F48" s="11">
        <f>D48+E48</f>
        <v/>
      </c>
      <c r="G48" s="11">
        <f>SUMIFS(Theo_doi_don_nghi!H5:H28, Theo_doi_don_nghi!B5:B28, "TP0045", Theo_doi_don_nghi!E5:E28, "Nghỉ phép năm", Theo_doi_don_nghi!K5:K28, "Đã duyệt")</f>
        <v/>
      </c>
      <c r="H48" s="11">
        <f>F48-G48</f>
        <v/>
      </c>
      <c r="I48" s="10" t="inlineStr">
        <is>
          <t>Bình thường</t>
        </is>
      </c>
    </row>
    <row r="49" ht="20" customHeight="1">
      <c r="A49" s="4" t="inlineStr">
        <is>
          <t>TP0046</t>
        </is>
      </c>
      <c r="B49" s="5" t="inlineStr">
        <is>
          <t>Nguyễn Thị Sen</t>
        </is>
      </c>
      <c r="C49" s="5" t="inlineStr">
        <is>
          <t>Xưởng Sản xuất &amp; Vận hành</t>
        </is>
      </c>
      <c r="D49" s="6" t="n">
        <v>12</v>
      </c>
      <c r="E49" s="6" t="n">
        <v>0</v>
      </c>
      <c r="F49" s="6">
        <f>D49+E49</f>
        <v/>
      </c>
      <c r="G49" s="6">
        <f>SUMIFS(Theo_doi_don_nghi!H5:H28, Theo_doi_don_nghi!B5:B28, "TP0046", Theo_doi_don_nghi!E5:E28, "Nghỉ phép năm", Theo_doi_don_nghi!K5:K28, "Đã duyệt")</f>
        <v/>
      </c>
      <c r="H49" s="6">
        <f>F49-G49</f>
        <v/>
      </c>
      <c r="I49" s="5" t="inlineStr">
        <is>
          <t>Bình thường</t>
        </is>
      </c>
    </row>
    <row r="50" ht="20" customHeight="1">
      <c r="A50" s="9" t="inlineStr">
        <is>
          <t>TP0047</t>
        </is>
      </c>
      <c r="B50" s="10" t="inlineStr">
        <is>
          <t>Đinh Trọng Hưng</t>
        </is>
      </c>
      <c r="C50" s="10" t="inlineStr">
        <is>
          <t>Xưởng Sản xuất &amp; Vận hành</t>
        </is>
      </c>
      <c r="D50" s="11" t="n">
        <v>12</v>
      </c>
      <c r="E50" s="11" t="n">
        <v>0</v>
      </c>
      <c r="F50" s="11">
        <f>D50+E50</f>
        <v/>
      </c>
      <c r="G50" s="11">
        <f>SUMIFS(Theo_doi_don_nghi!H5:H28, Theo_doi_don_nghi!B5:B28, "TP0047", Theo_doi_don_nghi!E5:E28, "Nghỉ phép năm", Theo_doi_don_nghi!K5:K28, "Đã duyệt")</f>
        <v/>
      </c>
      <c r="H50" s="11">
        <f>F50-G50</f>
        <v/>
      </c>
      <c r="I50" s="10" t="inlineStr">
        <is>
          <t>Bình thường</t>
        </is>
      </c>
    </row>
    <row r="51" ht="20" customHeight="1">
      <c r="A51" s="4" t="inlineStr">
        <is>
          <t>TP0048</t>
        </is>
      </c>
      <c r="B51" s="5" t="inlineStr">
        <is>
          <t>Vũ Mai Phương</t>
        </is>
      </c>
      <c r="C51" s="5" t="inlineStr">
        <is>
          <t>Xưởng Sản xuất &amp; Vận hành</t>
        </is>
      </c>
      <c r="D51" s="6" t="n">
        <v>12</v>
      </c>
      <c r="E51" s="6" t="n">
        <v>0</v>
      </c>
      <c r="F51" s="6">
        <f>D51+E51</f>
        <v/>
      </c>
      <c r="G51" s="6">
        <f>SUMIFS(Theo_doi_don_nghi!H5:H28, Theo_doi_don_nghi!B5:B28, "TP0048", Theo_doi_don_nghi!E5:E28, "Nghỉ phép năm", Theo_doi_don_nghi!K5:K28, "Đã duyệt")</f>
        <v/>
      </c>
      <c r="H51" s="6">
        <f>F51-G51</f>
        <v/>
      </c>
      <c r="I51" s="5" t="inlineStr">
        <is>
          <t>Bình thường</t>
        </is>
      </c>
    </row>
    <row r="52" ht="20" customHeight="1">
      <c r="A52" s="9" t="inlineStr">
        <is>
          <t>TP0049</t>
        </is>
      </c>
      <c r="B52" s="10" t="inlineStr">
        <is>
          <t>Hoàng Văn Nam</t>
        </is>
      </c>
      <c r="C52" s="10" t="inlineStr">
        <is>
          <t>Xưởng Sản xuất &amp; Vận hành</t>
        </is>
      </c>
      <c r="D52" s="11" t="n">
        <v>0</v>
      </c>
      <c r="E52" s="11" t="n">
        <v>0</v>
      </c>
      <c r="F52" s="11">
        <f>D52+E52</f>
        <v/>
      </c>
      <c r="G52" s="11">
        <f>SUMIFS(Theo_doi_don_nghi!H5:H28, Theo_doi_don_nghi!B5:B28, "TP0049", Theo_doi_don_nghi!E5:E28, "Nghỉ phép năm", Theo_doi_don_nghi!K5:K28, "Đã duyệt")</f>
        <v/>
      </c>
      <c r="H52" s="11">
        <f>F52-G52</f>
        <v/>
      </c>
      <c r="I52" s="10" t="inlineStr">
        <is>
          <t>Đang thử việc - chưa cấp phép</t>
        </is>
      </c>
    </row>
    <row r="53" ht="20" customHeight="1">
      <c r="A53" s="4" t="inlineStr">
        <is>
          <t>TP0050</t>
        </is>
      </c>
      <c r="B53" s="5" t="inlineStr">
        <is>
          <t>Trần Quốc Toản</t>
        </is>
      </c>
      <c r="C53" s="5" t="inlineStr">
        <is>
          <t>Xưởng Sản xuất &amp; Vận hành</t>
        </is>
      </c>
      <c r="D53" s="6" t="n">
        <v>12</v>
      </c>
      <c r="E53" s="6" t="n">
        <v>0</v>
      </c>
      <c r="F53" s="6">
        <f>D53+E53</f>
        <v/>
      </c>
      <c r="G53" s="6">
        <f>SUMIFS(Theo_doi_don_nghi!H5:H28, Theo_doi_don_nghi!B5:B28, "TP0050", Theo_doi_don_nghi!E5:E28, "Nghỉ phép năm", Theo_doi_don_nghi!K5:K28, "Đã duyệt")</f>
        <v/>
      </c>
      <c r="H53" s="6">
        <f>F53-G53</f>
        <v/>
      </c>
      <c r="I53" s="5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2026-10-18T16:25:56Z</dcterms:created>
  <dcterms:modified xmlns:dcterms="http://purl.org/dc/terms/" xmlns:xsi="http://www.w3.org/2001/XMLSchema-instance" xsi:type="dcterms:W3CDTF">2026-10-18T16:25:56Z</dcterms:modified>
</cp:coreProperties>
</file>