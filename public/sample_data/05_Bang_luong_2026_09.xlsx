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_luong_T09_2026" sheetId="1" state="visible" r:id="rId1"/>
    <sheet xmlns:r="http://schemas.openxmlformats.org/officeDocument/2006/relationships" name="Quy_luong_phong_ban" sheetId="2" state="visible" r:id="rId2"/>
    <sheet xmlns:r="http://schemas.openxmlformats.org/officeDocument/2006/relationships" name="Bien_dong_quy_luong_Q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 đ&quot;"/>
    <numFmt numFmtId="165" formatCode="0.0%"/>
    <numFmt numFmtId="166" formatCode="+0.00%;-0.00%"/>
  </numFmts>
  <fonts count="6">
    <font>
      <name val="Calibri"/>
      <family val="2"/>
      <color theme="1"/>
      <sz val="11"/>
      <scheme val="minor"/>
    </font>
    <font>
      <name val="Segoe UI"/>
      <b val="1"/>
      <color rgb="003B0764"/>
      <sz val="14"/>
    </font>
    <font>
      <name val="Segoe UI"/>
      <i val="1"/>
      <color rgb="00555555"/>
      <sz val="9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3B0764"/>
        <bgColor rgb="003B0764"/>
      </patternFill>
    </fill>
    <fill>
      <patternFill patternType="solid">
        <fgColor rgb="00F3E8FF"/>
        <bgColor rgb="00F3E8FF"/>
      </patternFill>
    </fill>
    <fill>
      <patternFill patternType="solid">
        <fgColor rgb="00E9D5FF"/>
        <bgColor rgb="00E9D5FF"/>
      </patternFill>
    </fill>
    <fill>
      <patternFill patternType="solid">
        <fgColor rgb="00FAF5FF"/>
        <bgColor rgb="00FAF5FF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164" fontId="5" fillId="6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showGridLines="1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3" customWidth="1" min="2" max="2"/>
    <col width="32" customWidth="1" min="3" max="3"/>
    <col width="44" customWidth="1" min="4" max="4"/>
    <col width="16" customWidth="1" min="5" max="5"/>
    <col width="16" customWidth="1" min="6" max="6"/>
    <col width="25" customWidth="1" min="7" max="7"/>
    <col width="16" customWidth="1" min="8" max="8"/>
    <col width="19" customWidth="1" min="9" max="9"/>
    <col width="20" customWidth="1" min="10" max="10"/>
    <col width="19" customWidth="1" min="11" max="11"/>
    <col width="17" customWidth="1" min="12" max="12"/>
    <col width="22" customWidth="1" min="13" max="13"/>
    <col width="16" customWidth="1" min="14" max="14"/>
    <col width="16" customWidth="1" min="15" max="15"/>
    <col width="53" customWidth="1" min="16" max="16"/>
  </cols>
  <sheetData>
    <row r="1">
      <c r="A1" s="1" t="inlineStr">
        <is>
          <t>BẢNG THANH TOÁN TIỀN LƯƠNG THÁNG 09/2026 - CÔNG TY A</t>
        </is>
      </c>
    </row>
    <row r="2">
      <c r="A2" s="2" t="inlineStr">
        <is>
          <t>Đơn vị tính: VNĐ | Kỳ thanh toán: Tháng 09/2026 (Quyết toán Quý 3/2026) | Quy định: Nghị quyết 954 &amp; Luật BHXH</t>
        </is>
      </c>
    </row>
    <row r="3"/>
    <row r="4" ht="28" customHeight="1">
      <c r="A4" s="3" t="inlineStr">
        <is>
          <t>Mã NV</t>
        </is>
      </c>
      <c r="B4" s="3" t="inlineStr">
        <is>
          <t>Họ và tên</t>
        </is>
      </c>
      <c r="C4" s="3" t="inlineStr">
        <is>
          <t>Phòng ban</t>
        </is>
      </c>
      <c r="D4" s="3" t="inlineStr">
        <is>
          <t>Chức danh</t>
        </is>
      </c>
      <c r="E4" s="3" t="inlineStr">
        <is>
          <t>Mức lương HĐ</t>
        </is>
      </c>
      <c r="F4" s="3" t="inlineStr">
        <is>
          <t>Ngày công</t>
        </is>
      </c>
      <c r="G4" s="3" t="inlineStr">
        <is>
          <t>Lương thời gian</t>
        </is>
      </c>
      <c r="H4" s="3" t="inlineStr">
        <is>
          <t>Phụ cấp TN</t>
        </is>
      </c>
      <c r="I4" s="3" t="inlineStr">
        <is>
          <t>Phụ cấp ăn trưa</t>
        </is>
      </c>
      <c r="J4" s="3" t="inlineStr">
        <is>
          <t>Tiền làm thêm OT</t>
        </is>
      </c>
      <c r="K4" s="3" t="inlineStr">
        <is>
          <t>Thưởng hiệu quả</t>
        </is>
      </c>
      <c r="L4" s="3" t="inlineStr">
        <is>
          <t>Tổng thu nhập</t>
        </is>
      </c>
      <c r="M4" s="3" t="inlineStr">
        <is>
          <t>BHXH,YT,TN (10.5%)</t>
        </is>
      </c>
      <c r="N4" s="3" t="inlineStr">
        <is>
          <t>Thuế TNCN</t>
        </is>
      </c>
      <c r="O4" s="3" t="inlineStr">
        <is>
          <t>Thực lĩnh</t>
        </is>
      </c>
      <c r="P4" s="3" t="inlineStr">
        <is>
          <t>Ghi chú</t>
        </is>
      </c>
    </row>
    <row r="5" ht="20" customHeight="1">
      <c r="A5" s="4" t="inlineStr">
        <is>
          <t>TP0001</t>
        </is>
      </c>
      <c r="B5" s="5" t="inlineStr">
        <is>
          <t>Phạm Thái Hùng</t>
        </is>
      </c>
      <c r="C5" s="5" t="inlineStr">
        <is>
          <t>Ban Giám đốc</t>
        </is>
      </c>
      <c r="D5" s="5" t="inlineStr">
        <is>
          <t>Tổng Giám đốc</t>
        </is>
      </c>
      <c r="E5" s="6" t="n">
        <v>35000000</v>
      </c>
      <c r="F5" s="7" t="n">
        <v>26</v>
      </c>
      <c r="G5" s="6">
        <f>ROUND(E5/26*F5, 0)</f>
        <v/>
      </c>
      <c r="H5" s="6" t="n">
        <v>15000000</v>
      </c>
      <c r="I5" s="6" t="n">
        <v>730000</v>
      </c>
      <c r="J5" s="6" t="n">
        <v>0</v>
      </c>
      <c r="K5" s="6" t="n">
        <v>2000000</v>
      </c>
      <c r="L5" s="8">
        <f>SUM(G5:K5)</f>
        <v/>
      </c>
      <c r="M5" s="6" t="n">
        <v>3675000</v>
      </c>
      <c r="N5" s="6" t="n">
        <v>4981250</v>
      </c>
      <c r="O5" s="9">
        <f>L5-M5-N5</f>
        <v/>
      </c>
      <c r="P5" s="5" t="inlineStr"/>
    </row>
    <row r="6" ht="20" customHeight="1">
      <c r="A6" s="10" t="inlineStr">
        <is>
          <t>TP0002</t>
        </is>
      </c>
      <c r="B6" s="11" t="inlineStr">
        <is>
          <t>Nguyễn Minh Tuấn</t>
        </is>
      </c>
      <c r="C6" s="11" t="inlineStr">
        <is>
          <t>Ban Giám đốc</t>
        </is>
      </c>
      <c r="D6" s="11" t="inlineStr">
        <is>
          <t>Phó Tổng Giám đốc</t>
        </is>
      </c>
      <c r="E6" s="12" t="n">
        <v>35000000</v>
      </c>
      <c r="F6" s="13" t="n">
        <v>26</v>
      </c>
      <c r="G6" s="12">
        <f>ROUND(E6/26*F6, 0)</f>
        <v/>
      </c>
      <c r="H6" s="12" t="n">
        <v>10000000</v>
      </c>
      <c r="I6" s="12" t="n">
        <v>730000</v>
      </c>
      <c r="J6" s="12" t="n">
        <v>0</v>
      </c>
      <c r="K6" s="12" t="n">
        <v>2000000</v>
      </c>
      <c r="L6" s="8">
        <f>SUM(G6:K6)</f>
        <v/>
      </c>
      <c r="M6" s="12" t="n">
        <v>3675000</v>
      </c>
      <c r="N6" s="12" t="n">
        <v>3055000</v>
      </c>
      <c r="O6" s="9">
        <f>L6-M6-N6</f>
        <v/>
      </c>
      <c r="P6" s="11" t="inlineStr"/>
    </row>
    <row r="7" ht="20" customHeight="1">
      <c r="A7" s="4" t="inlineStr">
        <is>
          <t>TP0003</t>
        </is>
      </c>
      <c r="B7" s="5" t="inlineStr">
        <is>
          <t>Trần Mai Phương</t>
        </is>
      </c>
      <c r="C7" s="5" t="inlineStr">
        <is>
          <t>Ban Giám đốc</t>
        </is>
      </c>
      <c r="D7" s="5" t="inlineStr">
        <is>
          <t>Trợ lý Ban Giám đốc</t>
        </is>
      </c>
      <c r="E7" s="6" t="n">
        <v>12000000</v>
      </c>
      <c r="F7" s="7" t="n">
        <v>26</v>
      </c>
      <c r="G7" s="6">
        <f>ROUND(E7/26*F7, 0)</f>
        <v/>
      </c>
      <c r="H7" s="6" t="n">
        <v>3000000</v>
      </c>
      <c r="I7" s="6" t="n">
        <v>730000</v>
      </c>
      <c r="J7" s="6" t="n">
        <v>0</v>
      </c>
      <c r="K7" s="6" t="n">
        <v>2000000</v>
      </c>
      <c r="L7" s="8">
        <f>SUM(G7:K7)</f>
        <v/>
      </c>
      <c r="M7" s="6" t="n">
        <v>1260000</v>
      </c>
      <c r="N7" s="6" t="n">
        <v>237000</v>
      </c>
      <c r="O7" s="9">
        <f>L7-M7-N7</f>
        <v/>
      </c>
      <c r="P7" s="5" t="inlineStr"/>
    </row>
    <row r="8" ht="20" customHeight="1">
      <c r="A8" s="10" t="inlineStr">
        <is>
          <t>TP0004</t>
        </is>
      </c>
      <c r="B8" s="11" t="inlineStr">
        <is>
          <t>Hà Quang Dũng</t>
        </is>
      </c>
      <c r="C8" s="11" t="inlineStr">
        <is>
          <t>Phòng Hành chính - Nhân sự</t>
        </is>
      </c>
      <c r="D8" s="11" t="inlineStr">
        <is>
          <t>Trưởng phòng Hành chính - Nhân sự</t>
        </is>
      </c>
      <c r="E8" s="12" t="n">
        <v>22000000</v>
      </c>
      <c r="F8" s="13" t="n">
        <v>26</v>
      </c>
      <c r="G8" s="12">
        <f>ROUND(E8/26*F8, 0)</f>
        <v/>
      </c>
      <c r="H8" s="12" t="n">
        <v>5000000</v>
      </c>
      <c r="I8" s="12" t="n">
        <v>730000</v>
      </c>
      <c r="J8" s="12" t="n">
        <v>0</v>
      </c>
      <c r="K8" s="12" t="n">
        <v>2000000</v>
      </c>
      <c r="L8" s="8">
        <f>SUM(G8:K8)</f>
        <v/>
      </c>
      <c r="M8" s="12" t="n">
        <v>2310000</v>
      </c>
      <c r="N8" s="12" t="n">
        <v>943500</v>
      </c>
      <c r="O8" s="9">
        <f>L8-M8-N8</f>
        <v/>
      </c>
      <c r="P8" s="11" t="inlineStr"/>
    </row>
    <row r="9" ht="20" customHeight="1">
      <c r="A9" s="4" t="inlineStr">
        <is>
          <t>TP0005</t>
        </is>
      </c>
      <c r="B9" s="5" t="inlineStr">
        <is>
          <t>Đỗ Thị Quỳnh Nga</t>
        </is>
      </c>
      <c r="C9" s="5" t="inlineStr">
        <is>
          <t>Phòng Hành chính - Nhân sự</t>
        </is>
      </c>
      <c r="D9" s="5" t="inlineStr">
        <is>
          <t>Chuyên viên Tuyển dụng &amp; Đào tạo</t>
        </is>
      </c>
      <c r="E9" s="6" t="n">
        <v>12000000</v>
      </c>
      <c r="F9" s="7" t="n">
        <v>26</v>
      </c>
      <c r="G9" s="6">
        <f>ROUND(E9/26*F9, 0)</f>
        <v/>
      </c>
      <c r="H9" s="6" t="n">
        <v>1500000</v>
      </c>
      <c r="I9" s="6" t="n">
        <v>730000</v>
      </c>
      <c r="J9" s="6" t="n">
        <v>0</v>
      </c>
      <c r="K9" s="6" t="n">
        <v>800000</v>
      </c>
      <c r="L9" s="8">
        <f>SUM(G9:K9)</f>
        <v/>
      </c>
      <c r="M9" s="6" t="n">
        <v>1260000</v>
      </c>
      <c r="N9" s="6" t="n">
        <v>0</v>
      </c>
      <c r="O9" s="9">
        <f>L9-M9-N9</f>
        <v/>
      </c>
      <c r="P9" s="5" t="inlineStr"/>
    </row>
    <row r="10" ht="20" customHeight="1">
      <c r="A10" s="10" t="inlineStr">
        <is>
          <t>TP0006</t>
        </is>
      </c>
      <c r="B10" s="11" t="inlineStr">
        <is>
          <t>Vũ Phương Linh</t>
        </is>
      </c>
      <c r="C10" s="11" t="inlineStr">
        <is>
          <t>Phòng Hành chính - Nhân sự</t>
        </is>
      </c>
      <c r="D10" s="11" t="inlineStr">
        <is>
          <t>Chuyên viên C&amp;B (Tiền lương - Phúc lợi)</t>
        </is>
      </c>
      <c r="E10" s="12" t="n">
        <v>12000000</v>
      </c>
      <c r="F10" s="13" t="n">
        <v>26</v>
      </c>
      <c r="G10" s="12">
        <f>ROUND(E10/26*F10, 0)</f>
        <v/>
      </c>
      <c r="H10" s="12" t="n">
        <v>1500000</v>
      </c>
      <c r="I10" s="12" t="n">
        <v>730000</v>
      </c>
      <c r="J10" s="12" t="n">
        <v>0</v>
      </c>
      <c r="K10" s="12" t="n">
        <v>800000</v>
      </c>
      <c r="L10" s="8">
        <f>SUM(G10:K10)</f>
        <v/>
      </c>
      <c r="M10" s="12" t="n">
        <v>1260000</v>
      </c>
      <c r="N10" s="12" t="n">
        <v>102000</v>
      </c>
      <c r="O10" s="9">
        <f>L10-M10-N10</f>
        <v/>
      </c>
      <c r="P10" s="11" t="inlineStr"/>
    </row>
    <row r="11" ht="20" customHeight="1">
      <c r="A11" s="4" t="inlineStr">
        <is>
          <t>TP0007</t>
        </is>
      </c>
      <c r="B11" s="5" t="inlineStr">
        <is>
          <t>Nguyễn Ngọc Bích</t>
        </is>
      </c>
      <c r="C11" s="5" t="inlineStr">
        <is>
          <t>Phòng Hành chính - Nhân sự</t>
        </is>
      </c>
      <c r="D11" s="5" t="inlineStr">
        <is>
          <t>Nhân viên Hành chính - Lễ tân</t>
        </is>
      </c>
      <c r="E11" s="6" t="n">
        <v>8500000</v>
      </c>
      <c r="F11" s="7" t="n">
        <v>26</v>
      </c>
      <c r="G11" s="6">
        <f>ROUND(E11/26*F11, 0)</f>
        <v/>
      </c>
      <c r="H11" s="6" t="n">
        <v>500000</v>
      </c>
      <c r="I11" s="6" t="n">
        <v>730000</v>
      </c>
      <c r="J11" s="6" t="n">
        <v>0</v>
      </c>
      <c r="K11" s="6" t="n">
        <v>800000</v>
      </c>
      <c r="L11" s="8">
        <f>SUM(G11:K11)</f>
        <v/>
      </c>
      <c r="M11" s="6" t="n">
        <v>892500</v>
      </c>
      <c r="N11" s="6" t="n">
        <v>0</v>
      </c>
      <c r="O11" s="9">
        <f>L11-M11-N11</f>
        <v/>
      </c>
      <c r="P11" s="5" t="inlineStr"/>
    </row>
    <row r="12" ht="20" customHeight="1">
      <c r="A12" s="10" t="inlineStr">
        <is>
          <t>TP0008</t>
        </is>
      </c>
      <c r="B12" s="11" t="inlineStr">
        <is>
          <t>Hoàng Thu Thảo</t>
        </is>
      </c>
      <c r="C12" s="11" t="inlineStr">
        <is>
          <t>Phòng Hành chính - Nhân sự</t>
        </is>
      </c>
      <c r="D12" s="11" t="inlineStr">
        <is>
          <t>Nhân viên Hành chính - Lễ tân</t>
        </is>
      </c>
      <c r="E12" s="12" t="n">
        <v>7225000</v>
      </c>
      <c r="F12" s="13" t="n">
        <v>26</v>
      </c>
      <c r="G12" s="12">
        <f>ROUND(E12/26*F12, 0)</f>
        <v/>
      </c>
      <c r="H12" s="12" t="n">
        <v>0</v>
      </c>
      <c r="I12" s="12" t="n">
        <v>730000</v>
      </c>
      <c r="J12" s="12" t="n">
        <v>0</v>
      </c>
      <c r="K12" s="12" t="n">
        <v>500000</v>
      </c>
      <c r="L12" s="8">
        <f>SUM(G12:K12)</f>
        <v/>
      </c>
      <c r="M12" s="12" t="n">
        <v>0</v>
      </c>
      <c r="N12" s="12" t="n">
        <v>0</v>
      </c>
      <c r="O12" s="9">
        <f>L12-M12-N12</f>
        <v/>
      </c>
      <c r="P12" s="11" t="inlineStr">
        <is>
          <t>Lương thử việc tháng thứ 2 (kèm thưởng động viên)</t>
        </is>
      </c>
    </row>
    <row r="13" ht="20" customHeight="1">
      <c r="A13" s="4" t="inlineStr">
        <is>
          <t>TP0009</t>
        </is>
      </c>
      <c r="B13" s="5" t="inlineStr">
        <is>
          <t>Lê Thu Lan</t>
        </is>
      </c>
      <c r="C13" s="5" t="inlineStr">
        <is>
          <t>Phòng Tài chính - Kế toán</t>
        </is>
      </c>
      <c r="D13" s="5" t="inlineStr">
        <is>
          <t>Kế toán trưởng</t>
        </is>
      </c>
      <c r="E13" s="6" t="n">
        <v>22000000</v>
      </c>
      <c r="F13" s="7" t="n">
        <v>26</v>
      </c>
      <c r="G13" s="6">
        <f>ROUND(E13/26*F13, 0)</f>
        <v/>
      </c>
      <c r="H13" s="6" t="n">
        <v>6000000</v>
      </c>
      <c r="I13" s="6" t="n">
        <v>730000</v>
      </c>
      <c r="J13" s="6" t="n">
        <v>0</v>
      </c>
      <c r="K13" s="6" t="n">
        <v>800000</v>
      </c>
      <c r="L13" s="8">
        <f>SUM(G13:K13)</f>
        <v/>
      </c>
      <c r="M13" s="6" t="n">
        <v>2310000</v>
      </c>
      <c r="N13" s="6" t="n">
        <v>419000</v>
      </c>
      <c r="O13" s="9">
        <f>L13-M13-N13</f>
        <v/>
      </c>
      <c r="P13" s="5" t="inlineStr"/>
    </row>
    <row r="14" ht="20" customHeight="1">
      <c r="A14" s="10" t="inlineStr">
        <is>
          <t>TP0010</t>
        </is>
      </c>
      <c r="B14" s="11" t="inlineStr">
        <is>
          <t>Nguyễn Bích Thủy</t>
        </is>
      </c>
      <c r="C14" s="11" t="inlineStr">
        <is>
          <t>Phòng Tài chính - Kế toán</t>
        </is>
      </c>
      <c r="D14" s="11" t="inlineStr">
        <is>
          <t>Kế toán tổng hợp</t>
        </is>
      </c>
      <c r="E14" s="12" t="n">
        <v>8500000</v>
      </c>
      <c r="F14" s="13" t="n">
        <v>26</v>
      </c>
      <c r="G14" s="12">
        <f>ROUND(E14/26*F14, 0)</f>
        <v/>
      </c>
      <c r="H14" s="12" t="n">
        <v>2000000</v>
      </c>
      <c r="I14" s="12" t="n">
        <v>730000</v>
      </c>
      <c r="J14" s="12" t="n">
        <v>0</v>
      </c>
      <c r="K14" s="12" t="n">
        <v>800000</v>
      </c>
      <c r="L14" s="8">
        <f>SUM(G14:K14)</f>
        <v/>
      </c>
      <c r="M14" s="12" t="n">
        <v>892500</v>
      </c>
      <c r="N14" s="12" t="n">
        <v>0</v>
      </c>
      <c r="O14" s="9">
        <f>L14-M14-N14</f>
        <v/>
      </c>
      <c r="P14" s="11" t="inlineStr"/>
    </row>
    <row r="15" ht="20" customHeight="1">
      <c r="A15" s="4" t="inlineStr">
        <is>
          <t>TP0011</t>
        </is>
      </c>
      <c r="B15" s="5" t="inlineStr">
        <is>
          <t>Trần Thùy Dương</t>
        </is>
      </c>
      <c r="C15" s="5" t="inlineStr">
        <is>
          <t>Phòng Tài chính - Kế toán</t>
        </is>
      </c>
      <c r="D15" s="5" t="inlineStr">
        <is>
          <t>Kế toán thanh toán &amp; Công nợ</t>
        </is>
      </c>
      <c r="E15" s="6" t="n">
        <v>8500000</v>
      </c>
      <c r="F15" s="7" t="n">
        <v>26</v>
      </c>
      <c r="G15" s="6">
        <f>ROUND(E15/26*F15, 0)</f>
        <v/>
      </c>
      <c r="H15" s="6" t="n">
        <v>1000000</v>
      </c>
      <c r="I15" s="6" t="n">
        <v>730000</v>
      </c>
      <c r="J15" s="6" t="n">
        <v>0</v>
      </c>
      <c r="K15" s="6" t="n">
        <v>800000</v>
      </c>
      <c r="L15" s="8">
        <f>SUM(G15:K15)</f>
        <v/>
      </c>
      <c r="M15" s="6" t="n">
        <v>892500</v>
      </c>
      <c r="N15" s="6" t="n">
        <v>0</v>
      </c>
      <c r="O15" s="9">
        <f>L15-M15-N15</f>
        <v/>
      </c>
      <c r="P15" s="5" t="inlineStr"/>
    </row>
    <row r="16" ht="20" customHeight="1">
      <c r="A16" s="10" t="inlineStr">
        <is>
          <t>TP0012</t>
        </is>
      </c>
      <c r="B16" s="11" t="inlineStr">
        <is>
          <t>Phan Thanh Hoa</t>
        </is>
      </c>
      <c r="C16" s="11" t="inlineStr">
        <is>
          <t>Phòng Tài chính - Kế toán</t>
        </is>
      </c>
      <c r="D16" s="11" t="inlineStr">
        <is>
          <t>Kế toán thanh toán &amp; Công nợ</t>
        </is>
      </c>
      <c r="E16" s="12" t="n">
        <v>8500000</v>
      </c>
      <c r="F16" s="13" t="n">
        <v>26</v>
      </c>
      <c r="G16" s="12">
        <f>ROUND(E16/26*F16, 0)</f>
        <v/>
      </c>
      <c r="H16" s="12" t="n">
        <v>1000000</v>
      </c>
      <c r="I16" s="12" t="n">
        <v>730000</v>
      </c>
      <c r="J16" s="12" t="n">
        <v>0</v>
      </c>
      <c r="K16" s="12" t="n">
        <v>800000</v>
      </c>
      <c r="L16" s="8">
        <f>SUM(G16:K16)</f>
        <v/>
      </c>
      <c r="M16" s="12" t="n">
        <v>892500</v>
      </c>
      <c r="N16" s="12" t="n">
        <v>0</v>
      </c>
      <c r="O16" s="9">
        <f>L16-M16-N16</f>
        <v/>
      </c>
      <c r="P16" s="11" t="inlineStr"/>
    </row>
    <row r="17" ht="20" customHeight="1">
      <c r="A17" s="4" t="inlineStr">
        <is>
          <t>TP0013</t>
        </is>
      </c>
      <c r="B17" s="5" t="inlineStr">
        <is>
          <t>Bùi Văn Khôi</t>
        </is>
      </c>
      <c r="C17" s="5" t="inlineStr">
        <is>
          <t>Phòng Tài chính - Kế toán</t>
        </is>
      </c>
      <c r="D17" s="5" t="inlineStr">
        <is>
          <t>Kế toán kho &amp; Vật tư</t>
        </is>
      </c>
      <c r="E17" s="6" t="n">
        <v>8500000</v>
      </c>
      <c r="F17" s="7" t="n">
        <v>26</v>
      </c>
      <c r="G17" s="6">
        <f>ROUND(E17/26*F17, 0)</f>
        <v/>
      </c>
      <c r="H17" s="6" t="n">
        <v>500000</v>
      </c>
      <c r="I17" s="6" t="n">
        <v>730000</v>
      </c>
      <c r="J17" s="6" t="n">
        <v>0</v>
      </c>
      <c r="K17" s="6" t="n">
        <v>800000</v>
      </c>
      <c r="L17" s="8">
        <f>SUM(G17:K17)</f>
        <v/>
      </c>
      <c r="M17" s="6" t="n">
        <v>892500</v>
      </c>
      <c r="N17" s="6" t="n">
        <v>0</v>
      </c>
      <c r="O17" s="9">
        <f>L17-M17-N17</f>
        <v/>
      </c>
      <c r="P17" s="5" t="inlineStr"/>
    </row>
    <row r="18" ht="20" customHeight="1">
      <c r="A18" s="10" t="inlineStr">
        <is>
          <t>TP0014</t>
        </is>
      </c>
      <c r="B18" s="11" t="inlineStr">
        <is>
          <t>Nguyễn Văn Hùng</t>
        </is>
      </c>
      <c r="C18" s="11" t="inlineStr">
        <is>
          <t>Phòng Kinh doanh &amp; Marketing</t>
        </is>
      </c>
      <c r="D18" s="11" t="inlineStr">
        <is>
          <t>Trưởng phòng Kinh doanh</t>
        </is>
      </c>
      <c r="E18" s="12" t="n">
        <v>22000000</v>
      </c>
      <c r="F18" s="13" t="n">
        <v>26</v>
      </c>
      <c r="G18" s="12">
        <f>ROUND(E18/26*F18, 0)</f>
        <v/>
      </c>
      <c r="H18" s="12" t="n">
        <v>6000000</v>
      </c>
      <c r="I18" s="12" t="n">
        <v>730000</v>
      </c>
      <c r="J18" s="12" t="n">
        <v>0</v>
      </c>
      <c r="K18" s="12" t="n">
        <v>4500000</v>
      </c>
      <c r="L18" s="8">
        <f>SUM(G18:K18)</f>
        <v/>
      </c>
      <c r="M18" s="12" t="n">
        <v>2310000</v>
      </c>
      <c r="N18" s="12" t="n">
        <v>808500</v>
      </c>
      <c r="O18" s="9">
        <f>L18-M18-N18</f>
        <v/>
      </c>
      <c r="P18" s="11" t="inlineStr"/>
    </row>
    <row r="19" ht="20" customHeight="1">
      <c r="A19" s="4" t="inlineStr">
        <is>
          <t>TP0015</t>
        </is>
      </c>
      <c r="B19" s="5" t="inlineStr">
        <is>
          <t>Nguyễn Việt Kiên</t>
        </is>
      </c>
      <c r="C19" s="5" t="inlineStr">
        <is>
          <t>Phòng Kinh doanh &amp; Marketing</t>
        </is>
      </c>
      <c r="D19" s="5" t="inlineStr">
        <is>
          <t>Phó phòng Kinh doanh</t>
        </is>
      </c>
      <c r="E19" s="6" t="n">
        <v>16000000</v>
      </c>
      <c r="F19" s="7" t="n">
        <v>26</v>
      </c>
      <c r="G19" s="6">
        <f>ROUND(E19/26*F19, 0)</f>
        <v/>
      </c>
      <c r="H19" s="6" t="n">
        <v>3500000</v>
      </c>
      <c r="I19" s="6" t="n">
        <v>730000</v>
      </c>
      <c r="J19" s="6" t="n">
        <v>692308</v>
      </c>
      <c r="K19" s="6" t="n">
        <v>3200000</v>
      </c>
      <c r="L19" s="8">
        <f>SUM(G19:K19)</f>
        <v/>
      </c>
      <c r="M19" s="6" t="n">
        <v>1680000</v>
      </c>
      <c r="N19" s="6" t="n">
        <v>381231</v>
      </c>
      <c r="O19" s="9">
        <f>L19-M19-N19</f>
        <v/>
      </c>
      <c r="P19" s="5" t="inlineStr"/>
    </row>
    <row r="20" ht="20" customHeight="1">
      <c r="A20" s="10" t="inlineStr">
        <is>
          <t>TP0016</t>
        </is>
      </c>
      <c r="B20" s="11" t="inlineStr">
        <is>
          <t>Đặng Minh Nam</t>
        </is>
      </c>
      <c r="C20" s="11" t="inlineStr">
        <is>
          <t>Phòng Kinh doanh &amp; Marketing</t>
        </is>
      </c>
      <c r="D20" s="11" t="inlineStr">
        <is>
          <t>Chuyên viên Digital Marketing</t>
        </is>
      </c>
      <c r="E20" s="12" t="n">
        <v>12000000</v>
      </c>
      <c r="F20" s="13" t="n">
        <v>26</v>
      </c>
      <c r="G20" s="12">
        <f>ROUND(E20/26*F20, 0)</f>
        <v/>
      </c>
      <c r="H20" s="12" t="n">
        <v>1500000</v>
      </c>
      <c r="I20" s="12" t="n">
        <v>730000</v>
      </c>
      <c r="J20" s="12" t="n">
        <v>0</v>
      </c>
      <c r="K20" s="12" t="n">
        <v>3200000</v>
      </c>
      <c r="L20" s="8">
        <f>SUM(G20:K20)</f>
        <v/>
      </c>
      <c r="M20" s="12" t="n">
        <v>1260000</v>
      </c>
      <c r="N20" s="12" t="n">
        <v>222000</v>
      </c>
      <c r="O20" s="9">
        <f>L20-M20-N20</f>
        <v/>
      </c>
      <c r="P20" s="11" t="inlineStr"/>
    </row>
    <row r="21" ht="20" customHeight="1">
      <c r="A21" s="4" t="inlineStr">
        <is>
          <t>TP0017</t>
        </is>
      </c>
      <c r="B21" s="5" t="inlineStr">
        <is>
          <t>Lê Diệu Linh</t>
        </is>
      </c>
      <c r="C21" s="5" t="inlineStr">
        <is>
          <t>Phòng Kinh doanh &amp; Marketing</t>
        </is>
      </c>
      <c r="D21" s="5" t="inlineStr">
        <is>
          <t>Chuyên viên Digital Marketing</t>
        </is>
      </c>
      <c r="E21" s="6" t="n">
        <v>12000000</v>
      </c>
      <c r="F21" s="7" t="n">
        <v>26</v>
      </c>
      <c r="G21" s="6">
        <f>ROUND(E21/26*F21, 0)</f>
        <v/>
      </c>
      <c r="H21" s="6" t="n">
        <v>1500000</v>
      </c>
      <c r="I21" s="6" t="n">
        <v>730000</v>
      </c>
      <c r="J21" s="6" t="n">
        <v>0</v>
      </c>
      <c r="K21" s="6" t="n">
        <v>3200000</v>
      </c>
      <c r="L21" s="8">
        <f>SUM(G21:K21)</f>
        <v/>
      </c>
      <c r="M21" s="6" t="n">
        <v>1260000</v>
      </c>
      <c r="N21" s="6" t="n">
        <v>222000</v>
      </c>
      <c r="O21" s="9">
        <f>L21-M21-N21</f>
        <v/>
      </c>
      <c r="P21" s="5" t="inlineStr"/>
    </row>
    <row r="22" ht="20" customHeight="1">
      <c r="A22" s="10" t="inlineStr">
        <is>
          <t>TP0018</t>
        </is>
      </c>
      <c r="B22" s="11" t="inlineStr">
        <is>
          <t>Phạm Quốc Bảo</t>
        </is>
      </c>
      <c r="C22" s="11" t="inlineStr">
        <is>
          <t>Phòng Kinh doanh &amp; Marketing</t>
        </is>
      </c>
      <c r="D22" s="11" t="inlineStr">
        <is>
          <t>Nhân viên Kinh doanh (Sales Rep)</t>
        </is>
      </c>
      <c r="E22" s="12" t="n">
        <v>8500000</v>
      </c>
      <c r="F22" s="13" t="n">
        <v>26</v>
      </c>
      <c r="G22" s="12">
        <f>ROUND(E22/26*F22, 0)</f>
        <v/>
      </c>
      <c r="H22" s="12" t="n">
        <v>1000000</v>
      </c>
      <c r="I22" s="12" t="n">
        <v>730000</v>
      </c>
      <c r="J22" s="12" t="n">
        <v>0</v>
      </c>
      <c r="K22" s="12" t="n">
        <v>3200000</v>
      </c>
      <c r="L22" s="8">
        <f>SUM(G22:K22)</f>
        <v/>
      </c>
      <c r="M22" s="12" t="n">
        <v>892500</v>
      </c>
      <c r="N22" s="12" t="n">
        <v>0</v>
      </c>
      <c r="O22" s="9">
        <f>L22-M22-N22</f>
        <v/>
      </c>
      <c r="P22" s="11" t="inlineStr"/>
    </row>
    <row r="23" ht="20" customHeight="1">
      <c r="A23" s="4" t="inlineStr">
        <is>
          <t>TP0019</t>
        </is>
      </c>
      <c r="B23" s="5" t="inlineStr">
        <is>
          <t>Trần Hải Yến</t>
        </is>
      </c>
      <c r="C23" s="5" t="inlineStr">
        <is>
          <t>Phòng Kinh doanh &amp; Marketing</t>
        </is>
      </c>
      <c r="D23" s="5" t="inlineStr">
        <is>
          <t>Nhân viên Kinh doanh (Sales Rep)</t>
        </is>
      </c>
      <c r="E23" s="6" t="n">
        <v>8500000</v>
      </c>
      <c r="F23" s="7" t="n">
        <v>26</v>
      </c>
      <c r="G23" s="6">
        <f>ROUND(E23/26*F23, 0)</f>
        <v/>
      </c>
      <c r="H23" s="6" t="n">
        <v>1000000</v>
      </c>
      <c r="I23" s="6" t="n">
        <v>730000</v>
      </c>
      <c r="J23" s="6" t="n">
        <v>0</v>
      </c>
      <c r="K23" s="6" t="n">
        <v>3200000</v>
      </c>
      <c r="L23" s="8">
        <f>SUM(G23:K23)</f>
        <v/>
      </c>
      <c r="M23" s="6" t="n">
        <v>892500</v>
      </c>
      <c r="N23" s="6" t="n">
        <v>0</v>
      </c>
      <c r="O23" s="9">
        <f>L23-M23-N23</f>
        <v/>
      </c>
      <c r="P23" s="5" t="inlineStr"/>
    </row>
    <row r="24" ht="20" customHeight="1">
      <c r="A24" s="10" t="inlineStr">
        <is>
          <t>TP0020</t>
        </is>
      </c>
      <c r="B24" s="11" t="inlineStr">
        <is>
          <t>Vũ Hoàng Long</t>
        </is>
      </c>
      <c r="C24" s="11" t="inlineStr">
        <is>
          <t>Phòng Kinh doanh &amp; Marketing</t>
        </is>
      </c>
      <c r="D24" s="11" t="inlineStr">
        <is>
          <t>Nhân viên Kinh doanh (Sales Rep)</t>
        </is>
      </c>
      <c r="E24" s="12" t="n">
        <v>8500000</v>
      </c>
      <c r="F24" s="13" t="n">
        <v>26</v>
      </c>
      <c r="G24" s="12">
        <f>ROUND(E24/26*F24, 0)</f>
        <v/>
      </c>
      <c r="H24" s="12" t="n">
        <v>1000000</v>
      </c>
      <c r="I24" s="12" t="n">
        <v>730000</v>
      </c>
      <c r="J24" s="12" t="n">
        <v>0</v>
      </c>
      <c r="K24" s="12" t="n">
        <v>3200000</v>
      </c>
      <c r="L24" s="8">
        <f>SUM(G24:K24)</f>
        <v/>
      </c>
      <c r="M24" s="12" t="n">
        <v>892500</v>
      </c>
      <c r="N24" s="12" t="n">
        <v>40375</v>
      </c>
      <c r="O24" s="9">
        <f>L24-M24-N24</f>
        <v/>
      </c>
      <c r="P24" s="11" t="inlineStr"/>
    </row>
    <row r="25" ht="20" customHeight="1">
      <c r="A25" s="4" t="inlineStr">
        <is>
          <t>TP0021</t>
        </is>
      </c>
      <c r="B25" s="5" t="inlineStr">
        <is>
          <t>Đinh Tuấn Anh</t>
        </is>
      </c>
      <c r="C25" s="5" t="inlineStr">
        <is>
          <t>Phòng Kinh doanh &amp; Marketing</t>
        </is>
      </c>
      <c r="D25" s="5" t="inlineStr">
        <is>
          <t>Nhân viên Kinh doanh (Sales Rep)</t>
        </is>
      </c>
      <c r="E25" s="6" t="n">
        <v>8500000</v>
      </c>
      <c r="F25" s="7" t="n">
        <v>26</v>
      </c>
      <c r="G25" s="6">
        <f>ROUND(E25/26*F25, 0)</f>
        <v/>
      </c>
      <c r="H25" s="6" t="n">
        <v>1000000</v>
      </c>
      <c r="I25" s="6" t="n">
        <v>730000</v>
      </c>
      <c r="J25" s="6" t="n">
        <v>0</v>
      </c>
      <c r="K25" s="6" t="n">
        <v>3200000</v>
      </c>
      <c r="L25" s="8">
        <f>SUM(G25:K25)</f>
        <v/>
      </c>
      <c r="M25" s="6" t="n">
        <v>892500</v>
      </c>
      <c r="N25" s="6" t="n">
        <v>40375</v>
      </c>
      <c r="O25" s="9">
        <f>L25-M25-N25</f>
        <v/>
      </c>
      <c r="P25" s="5" t="inlineStr"/>
    </row>
    <row r="26" ht="20" customHeight="1">
      <c r="A26" s="10" t="inlineStr">
        <is>
          <t>TP0022</t>
        </is>
      </c>
      <c r="B26" s="11" t="inlineStr">
        <is>
          <t>Lý Mỹ Duyên</t>
        </is>
      </c>
      <c r="C26" s="11" t="inlineStr">
        <is>
          <t>Phòng Kinh doanh &amp; Marketing</t>
        </is>
      </c>
      <c r="D26" s="11" t="inlineStr">
        <is>
          <t>Nhân viên Kinh doanh (Sales Rep)</t>
        </is>
      </c>
      <c r="E26" s="12" t="n">
        <v>8500000</v>
      </c>
      <c r="F26" s="13" t="n">
        <v>24</v>
      </c>
      <c r="G26" s="12">
        <f>ROUND(E26/26*F26, 0)</f>
        <v/>
      </c>
      <c r="H26" s="12" t="n">
        <v>1000000</v>
      </c>
      <c r="I26" s="12" t="n">
        <v>730000</v>
      </c>
      <c r="J26" s="12" t="n">
        <v>0</v>
      </c>
      <c r="K26" s="12" t="n">
        <v>3200000</v>
      </c>
      <c r="L26" s="8">
        <f>SUM(G26:K26)</f>
        <v/>
      </c>
      <c r="M26" s="12" t="n">
        <v>892500</v>
      </c>
      <c r="N26" s="12" t="n">
        <v>7683</v>
      </c>
      <c r="O26" s="9">
        <f>L26-M26-N26</f>
        <v/>
      </c>
      <c r="P26" s="11" t="inlineStr"/>
    </row>
    <row r="27" ht="20" customHeight="1">
      <c r="A27" s="4" t="inlineStr">
        <is>
          <t>TP0023</t>
        </is>
      </c>
      <c r="B27" s="5" t="inlineStr">
        <is>
          <t>Nguyễn Mạnh An</t>
        </is>
      </c>
      <c r="C27" s="5" t="inlineStr">
        <is>
          <t>Phòng Kinh doanh &amp; Marketing</t>
        </is>
      </c>
      <c r="D27" s="5" t="inlineStr">
        <is>
          <t>Nhân viên Kinh doanh (Sales Rep)</t>
        </is>
      </c>
      <c r="E27" s="6" t="n">
        <v>7225000</v>
      </c>
      <c r="F27" s="7" t="n">
        <v>26</v>
      </c>
      <c r="G27" s="6">
        <f>ROUND(E27/26*F27, 0)</f>
        <v/>
      </c>
      <c r="H27" s="6" t="n">
        <v>0</v>
      </c>
      <c r="I27" s="6" t="n">
        <v>730000</v>
      </c>
      <c r="J27" s="6" t="n">
        <v>0</v>
      </c>
      <c r="K27" s="6" t="n">
        <v>500000</v>
      </c>
      <c r="L27" s="8">
        <f>SUM(G27:K27)</f>
        <v/>
      </c>
      <c r="M27" s="6" t="n">
        <v>0</v>
      </c>
      <c r="N27" s="6" t="n">
        <v>0</v>
      </c>
      <c r="O27" s="9">
        <f>L27-M27-N27</f>
        <v/>
      </c>
      <c r="P27" s="5" t="inlineStr">
        <is>
          <t>Lương thử việc tháng thứ 2 (kèm thưởng động viên)</t>
        </is>
      </c>
    </row>
    <row r="28" ht="20" customHeight="1">
      <c r="A28" s="10" t="inlineStr">
        <is>
          <t>TP0024</t>
        </is>
      </c>
      <c r="B28" s="11" t="inlineStr">
        <is>
          <t>Dương Thu Trang</t>
        </is>
      </c>
      <c r="C28" s="11" t="inlineStr">
        <is>
          <t>Phòng Kinh doanh &amp; Marketing</t>
        </is>
      </c>
      <c r="D28" s="11" t="inlineStr">
        <is>
          <t>Nhân viên Chăm sóc khách hàng</t>
        </is>
      </c>
      <c r="E28" s="12" t="n">
        <v>8500000</v>
      </c>
      <c r="F28" s="13" t="n">
        <v>26</v>
      </c>
      <c r="G28" s="12">
        <f>ROUND(E28/26*F28, 0)</f>
        <v/>
      </c>
      <c r="H28" s="12" t="n">
        <v>800000</v>
      </c>
      <c r="I28" s="12" t="n">
        <v>730000</v>
      </c>
      <c r="J28" s="12" t="n">
        <v>0</v>
      </c>
      <c r="K28" s="12" t="n">
        <v>3200000</v>
      </c>
      <c r="L28" s="8">
        <f>SUM(G28:K28)</f>
        <v/>
      </c>
      <c r="M28" s="12" t="n">
        <v>892500</v>
      </c>
      <c r="N28" s="12" t="n">
        <v>0</v>
      </c>
      <c r="O28" s="9">
        <f>L28-M28-N28</f>
        <v/>
      </c>
      <c r="P28" s="11" t="inlineStr"/>
    </row>
    <row r="29" ht="20" customHeight="1">
      <c r="A29" s="4" t="inlineStr">
        <is>
          <t>TP0025</t>
        </is>
      </c>
      <c r="B29" s="5" t="inlineStr">
        <is>
          <t>Đoàn Khánh Linh</t>
        </is>
      </c>
      <c r="C29" s="5" t="inlineStr">
        <is>
          <t>Phòng Kinh doanh &amp; Marketing</t>
        </is>
      </c>
      <c r="D29" s="5" t="inlineStr">
        <is>
          <t>Nhân viên Chăm sóc khách hàng</t>
        </is>
      </c>
      <c r="E29" s="6" t="n">
        <v>8500000</v>
      </c>
      <c r="F29" s="7" t="n">
        <v>26</v>
      </c>
      <c r="G29" s="6">
        <f>ROUND(E29/26*F29, 0)</f>
        <v/>
      </c>
      <c r="H29" s="6" t="n">
        <v>800000</v>
      </c>
      <c r="I29" s="6" t="n">
        <v>730000</v>
      </c>
      <c r="J29" s="6" t="n">
        <v>0</v>
      </c>
      <c r="K29" s="6" t="n">
        <v>3200000</v>
      </c>
      <c r="L29" s="8">
        <f>SUM(G29:K29)</f>
        <v/>
      </c>
      <c r="M29" s="6" t="n">
        <v>892500</v>
      </c>
      <c r="N29" s="6" t="n">
        <v>30375</v>
      </c>
      <c r="O29" s="9">
        <f>L29-M29-N29</f>
        <v/>
      </c>
      <c r="P29" s="5" t="inlineStr"/>
    </row>
    <row r="30" ht="20" customHeight="1">
      <c r="A30" s="10" t="inlineStr">
        <is>
          <t>TP0026</t>
        </is>
      </c>
      <c r="B30" s="11" t="inlineStr">
        <is>
          <t>Đỗ Trọng Thắng</t>
        </is>
      </c>
      <c r="C30" s="11" t="inlineStr">
        <is>
          <t>Phòng Kỹ thuật &amp; Công nghệ</t>
        </is>
      </c>
      <c r="D30" s="11" t="inlineStr">
        <is>
          <t>Trưởng phòng Kỹ thuật</t>
        </is>
      </c>
      <c r="E30" s="12" t="n">
        <v>22000000</v>
      </c>
      <c r="F30" s="13" t="n">
        <v>26</v>
      </c>
      <c r="G30" s="12">
        <f>ROUND(E30/26*F30, 0)</f>
        <v/>
      </c>
      <c r="H30" s="12" t="n">
        <v>6000000</v>
      </c>
      <c r="I30" s="12" t="n">
        <v>730000</v>
      </c>
      <c r="J30" s="12" t="n">
        <v>1586538</v>
      </c>
      <c r="K30" s="12" t="n">
        <v>2000000</v>
      </c>
      <c r="L30" s="8">
        <f>SUM(G30:K30)</f>
        <v/>
      </c>
      <c r="M30" s="12" t="n">
        <v>2310000</v>
      </c>
      <c r="N30" s="12" t="n">
        <v>697654</v>
      </c>
      <c r="O30" s="9">
        <f>L30-M30-N30</f>
        <v/>
      </c>
      <c r="P30" s="11" t="inlineStr"/>
    </row>
    <row r="31" ht="20" customHeight="1">
      <c r="A31" s="4" t="inlineStr">
        <is>
          <t>TP0027</t>
        </is>
      </c>
      <c r="B31" s="5" t="inlineStr">
        <is>
          <t>Vũ Đình Bách</t>
        </is>
      </c>
      <c r="C31" s="5" t="inlineStr">
        <is>
          <t>Phòng Kỹ thuật &amp; Công nghệ</t>
        </is>
      </c>
      <c r="D31" s="5" t="inlineStr">
        <is>
          <t>Kỹ sư Hệ thống / IT Support</t>
        </is>
      </c>
      <c r="E31" s="6" t="n">
        <v>12000000</v>
      </c>
      <c r="F31" s="7" t="n">
        <v>26</v>
      </c>
      <c r="G31" s="6">
        <f>ROUND(E31/26*F31, 0)</f>
        <v/>
      </c>
      <c r="H31" s="6" t="n">
        <v>2000000</v>
      </c>
      <c r="I31" s="6" t="n">
        <v>730000</v>
      </c>
      <c r="J31" s="6" t="n">
        <v>0</v>
      </c>
      <c r="K31" s="6" t="n">
        <v>800000</v>
      </c>
      <c r="L31" s="8">
        <f>SUM(G31:K31)</f>
        <v/>
      </c>
      <c r="M31" s="6" t="n">
        <v>1260000</v>
      </c>
      <c r="N31" s="6" t="n">
        <v>0</v>
      </c>
      <c r="O31" s="9">
        <f>L31-M31-N31</f>
        <v/>
      </c>
      <c r="P31" s="5" t="inlineStr"/>
    </row>
    <row r="32" ht="20" customHeight="1">
      <c r="A32" s="10" t="inlineStr">
        <is>
          <t>TP0028</t>
        </is>
      </c>
      <c r="B32" s="11" t="inlineStr">
        <is>
          <t>Nguyễn Công Tuấn</t>
        </is>
      </c>
      <c r="C32" s="11" t="inlineStr">
        <is>
          <t>Phòng Kỹ thuật &amp; Công nghệ</t>
        </is>
      </c>
      <c r="D32" s="11" t="inlineStr">
        <is>
          <t>Kỹ sư Hệ thống / IT Support</t>
        </is>
      </c>
      <c r="E32" s="12" t="n">
        <v>12000000</v>
      </c>
      <c r="F32" s="13" t="n">
        <v>26</v>
      </c>
      <c r="G32" s="12">
        <f>ROUND(E32/26*F32, 0)</f>
        <v/>
      </c>
      <c r="H32" s="12" t="n">
        <v>2000000</v>
      </c>
      <c r="I32" s="12" t="n">
        <v>730000</v>
      </c>
      <c r="J32" s="12" t="n">
        <v>865385</v>
      </c>
      <c r="K32" s="12" t="n">
        <v>800000</v>
      </c>
      <c r="L32" s="8">
        <f>SUM(G32:K32)</f>
        <v/>
      </c>
      <c r="M32" s="12" t="n">
        <v>1260000</v>
      </c>
      <c r="N32" s="12" t="n">
        <v>170269</v>
      </c>
      <c r="O32" s="9">
        <f>L32-M32-N32</f>
        <v/>
      </c>
      <c r="P32" s="11" t="inlineStr"/>
    </row>
    <row r="33" ht="20" customHeight="1">
      <c r="A33" s="4" t="inlineStr">
        <is>
          <t>TP0029</t>
        </is>
      </c>
      <c r="B33" s="5" t="inlineStr">
        <is>
          <t>Phạm Văn Hiệp</t>
        </is>
      </c>
      <c r="C33" s="5" t="inlineStr">
        <is>
          <t>Phòng Kỹ thuật &amp; Công nghệ</t>
        </is>
      </c>
      <c r="D33" s="5" t="inlineStr">
        <is>
          <t>Kỹ sư Bảo trì &amp; Cơ điện</t>
        </is>
      </c>
      <c r="E33" s="6" t="n">
        <v>12000000</v>
      </c>
      <c r="F33" s="7" t="n">
        <v>26</v>
      </c>
      <c r="G33" s="6">
        <f>ROUND(E33/26*F33, 0)</f>
        <v/>
      </c>
      <c r="H33" s="6" t="n">
        <v>2000000</v>
      </c>
      <c r="I33" s="6" t="n">
        <v>730000</v>
      </c>
      <c r="J33" s="6" t="n">
        <v>0</v>
      </c>
      <c r="K33" s="6" t="n">
        <v>800000</v>
      </c>
      <c r="L33" s="8">
        <f>SUM(G33:K33)</f>
        <v/>
      </c>
      <c r="M33" s="6" t="n">
        <v>1260000</v>
      </c>
      <c r="N33" s="6" t="n">
        <v>0</v>
      </c>
      <c r="O33" s="9">
        <f>L33-M33-N33</f>
        <v/>
      </c>
      <c r="P33" s="5" t="inlineStr"/>
    </row>
    <row r="34" ht="20" customHeight="1">
      <c r="A34" s="10" t="inlineStr">
        <is>
          <t>TP0030</t>
        </is>
      </c>
      <c r="B34" s="11" t="inlineStr">
        <is>
          <t>Trịnh Quang Minh</t>
        </is>
      </c>
      <c r="C34" s="11" t="inlineStr">
        <is>
          <t>Phòng Kỹ thuật &amp; Công nghệ</t>
        </is>
      </c>
      <c r="D34" s="11" t="inlineStr">
        <is>
          <t>Kỹ sư Bảo trì &amp; Cơ điện</t>
        </is>
      </c>
      <c r="E34" s="12" t="n">
        <v>12000000</v>
      </c>
      <c r="F34" s="13" t="n">
        <v>26</v>
      </c>
      <c r="G34" s="12">
        <f>ROUND(E34/26*F34, 0)</f>
        <v/>
      </c>
      <c r="H34" s="12" t="n">
        <v>2000000</v>
      </c>
      <c r="I34" s="12" t="n">
        <v>730000</v>
      </c>
      <c r="J34" s="12" t="n">
        <v>865385</v>
      </c>
      <c r="K34" s="12" t="n">
        <v>800000</v>
      </c>
      <c r="L34" s="8">
        <f>SUM(G34:K34)</f>
        <v/>
      </c>
      <c r="M34" s="12" t="n">
        <v>1260000</v>
      </c>
      <c r="N34" s="12" t="n">
        <v>170269</v>
      </c>
      <c r="O34" s="9">
        <f>L34-M34-N34</f>
        <v/>
      </c>
      <c r="P34" s="11" t="inlineStr"/>
    </row>
    <row r="35" ht="20" customHeight="1">
      <c r="A35" s="4" t="inlineStr">
        <is>
          <t>TP0031</t>
        </is>
      </c>
      <c r="B35" s="5" t="inlineStr">
        <is>
          <t>Hoàng Thế Vinh</t>
        </is>
      </c>
      <c r="C35" s="5" t="inlineStr">
        <is>
          <t>Phòng Kỹ thuật &amp; Công nghệ</t>
        </is>
      </c>
      <c r="D35" s="5" t="inlineStr">
        <is>
          <t>Nhân viên Kỹ thuật</t>
        </is>
      </c>
      <c r="E35" s="6" t="n">
        <v>8500000</v>
      </c>
      <c r="F35" s="7" t="n">
        <v>26</v>
      </c>
      <c r="G35" s="6">
        <f>ROUND(E35/26*F35, 0)</f>
        <v/>
      </c>
      <c r="H35" s="6" t="n">
        <v>1000000</v>
      </c>
      <c r="I35" s="6" t="n">
        <v>730000</v>
      </c>
      <c r="J35" s="6" t="n">
        <v>0</v>
      </c>
      <c r="K35" s="6" t="n">
        <v>800000</v>
      </c>
      <c r="L35" s="8">
        <f>SUM(G35:K35)</f>
        <v/>
      </c>
      <c r="M35" s="6" t="n">
        <v>892500</v>
      </c>
      <c r="N35" s="6" t="n">
        <v>0</v>
      </c>
      <c r="O35" s="9">
        <f>L35-M35-N35</f>
        <v/>
      </c>
      <c r="P35" s="5" t="inlineStr"/>
    </row>
    <row r="36" ht="20" customHeight="1">
      <c r="A36" s="10" t="inlineStr">
        <is>
          <t>TP0032</t>
        </is>
      </c>
      <c r="B36" s="11" t="inlineStr">
        <is>
          <t>Cao Văn Đạt</t>
        </is>
      </c>
      <c r="C36" s="11" t="inlineStr">
        <is>
          <t>Phòng Kỹ thuật &amp; Công nghệ</t>
        </is>
      </c>
      <c r="D36" s="11" t="inlineStr">
        <is>
          <t>Nhân viên Kỹ thuật</t>
        </is>
      </c>
      <c r="E36" s="12" t="n">
        <v>8500000</v>
      </c>
      <c r="F36" s="13" t="n">
        <v>26</v>
      </c>
      <c r="G36" s="12">
        <f>ROUND(E36/26*F36, 0)</f>
        <v/>
      </c>
      <c r="H36" s="12" t="n">
        <v>1000000</v>
      </c>
      <c r="I36" s="12" t="n">
        <v>730000</v>
      </c>
      <c r="J36" s="12" t="n">
        <v>612981</v>
      </c>
      <c r="K36" s="12" t="n">
        <v>800000</v>
      </c>
      <c r="L36" s="8">
        <f>SUM(G36:K36)</f>
        <v/>
      </c>
      <c r="M36" s="12" t="n">
        <v>892500</v>
      </c>
      <c r="N36" s="12" t="n">
        <v>0</v>
      </c>
      <c r="O36" s="9">
        <f>L36-M36-N36</f>
        <v/>
      </c>
      <c r="P36" s="11" t="inlineStr"/>
    </row>
    <row r="37" ht="20" customHeight="1">
      <c r="A37" s="4" t="inlineStr">
        <is>
          <t>TP0033</t>
        </is>
      </c>
      <c r="B37" s="5" t="inlineStr">
        <is>
          <t>Nguyễn Khắc Quyền</t>
        </is>
      </c>
      <c r="C37" s="5" t="inlineStr">
        <is>
          <t>Xưởng Sản xuất &amp; Vận hành</t>
        </is>
      </c>
      <c r="D37" s="5" t="inlineStr">
        <is>
          <t>Quản đốc Xưởng sản xuất</t>
        </is>
      </c>
      <c r="E37" s="6" t="n">
        <v>22000000</v>
      </c>
      <c r="F37" s="7" t="n">
        <v>26</v>
      </c>
      <c r="G37" s="6">
        <f>ROUND(E37/26*F37, 0)</f>
        <v/>
      </c>
      <c r="H37" s="6" t="n">
        <v>6000000</v>
      </c>
      <c r="I37" s="6" t="n">
        <v>730000</v>
      </c>
      <c r="J37" s="6" t="n">
        <v>2750000</v>
      </c>
      <c r="K37" s="6" t="n">
        <v>1800000</v>
      </c>
      <c r="L37" s="8">
        <f>SUM(G37:K37)</f>
        <v/>
      </c>
      <c r="M37" s="6" t="n">
        <v>2310000</v>
      </c>
      <c r="N37" s="6" t="n">
        <v>816000</v>
      </c>
      <c r="O37" s="9">
        <f>L37-M37-N37</f>
        <v/>
      </c>
      <c r="P37" s="5" t="inlineStr"/>
    </row>
    <row r="38" ht="20" customHeight="1">
      <c r="A38" s="10" t="inlineStr">
        <is>
          <t>TP0034</t>
        </is>
      </c>
      <c r="B38" s="11" t="inlineStr">
        <is>
          <t>Trần Văn Bình</t>
        </is>
      </c>
      <c r="C38" s="11" t="inlineStr">
        <is>
          <t>Xưởng Sản xuất &amp; Vận hành</t>
        </is>
      </c>
      <c r="D38" s="11" t="inlineStr">
        <is>
          <t>Tổ trưởng Sản xuất</t>
        </is>
      </c>
      <c r="E38" s="12" t="n">
        <v>12000000</v>
      </c>
      <c r="F38" s="13" t="n">
        <v>26</v>
      </c>
      <c r="G38" s="12">
        <f>ROUND(E38/26*F38, 0)</f>
        <v/>
      </c>
      <c r="H38" s="12" t="n">
        <v>2500000</v>
      </c>
      <c r="I38" s="12" t="n">
        <v>730000</v>
      </c>
      <c r="J38" s="12" t="n">
        <v>0</v>
      </c>
      <c r="K38" s="12" t="n">
        <v>800000</v>
      </c>
      <c r="L38" s="8">
        <f>SUM(G38:K38)</f>
        <v/>
      </c>
      <c r="M38" s="12" t="n">
        <v>1260000</v>
      </c>
      <c r="N38" s="12" t="n">
        <v>0</v>
      </c>
      <c r="O38" s="9">
        <f>L38-M38-N38</f>
        <v/>
      </c>
      <c r="P38" s="11" t="inlineStr"/>
    </row>
    <row r="39" ht="20" customHeight="1">
      <c r="A39" s="4" t="inlineStr">
        <is>
          <t>TP0035</t>
        </is>
      </c>
      <c r="B39" s="5" t="inlineStr">
        <is>
          <t>Đặng Minh Thịnh</t>
        </is>
      </c>
      <c r="C39" s="5" t="inlineStr">
        <is>
          <t>Xưởng Sản xuất &amp; Vận hành</t>
        </is>
      </c>
      <c r="D39" s="5" t="inlineStr">
        <is>
          <t>Tổ trưởng Sản xuất</t>
        </is>
      </c>
      <c r="E39" s="6" t="n">
        <v>12000000</v>
      </c>
      <c r="F39" s="7" t="n">
        <v>26</v>
      </c>
      <c r="G39" s="6">
        <f>ROUND(E39/26*F39, 0)</f>
        <v/>
      </c>
      <c r="H39" s="6" t="n">
        <v>2500000</v>
      </c>
      <c r="I39" s="6" t="n">
        <v>730000</v>
      </c>
      <c r="J39" s="6" t="n">
        <v>1500000</v>
      </c>
      <c r="K39" s="6" t="n">
        <v>1800000</v>
      </c>
      <c r="L39" s="8">
        <f>SUM(G39:K39)</f>
        <v/>
      </c>
      <c r="M39" s="6" t="n">
        <v>1260000</v>
      </c>
      <c r="N39" s="6" t="n">
        <v>57000</v>
      </c>
      <c r="O39" s="9">
        <f>L39-M39-N39</f>
        <v/>
      </c>
      <c r="P39" s="5" t="inlineStr"/>
    </row>
    <row r="40" ht="20" customHeight="1">
      <c r="A40" s="10" t="inlineStr">
        <is>
          <t>TP0036</t>
        </is>
      </c>
      <c r="B40" s="11" t="inlineStr">
        <is>
          <t>Lê Kim Thơm</t>
        </is>
      </c>
      <c r="C40" s="11" t="inlineStr">
        <is>
          <t>Xưởng Sản xuất &amp; Vận hành</t>
        </is>
      </c>
      <c r="D40" s="11" t="inlineStr">
        <is>
          <t>Chuyên viên QA/QC (Kiểm soát chất lượng)</t>
        </is>
      </c>
      <c r="E40" s="12" t="n">
        <v>12000000</v>
      </c>
      <c r="F40" s="13" t="n">
        <v>26</v>
      </c>
      <c r="G40" s="12">
        <f>ROUND(E40/26*F40, 0)</f>
        <v/>
      </c>
      <c r="H40" s="12" t="n">
        <v>1500000</v>
      </c>
      <c r="I40" s="12" t="n">
        <v>730000</v>
      </c>
      <c r="J40" s="12" t="n">
        <v>692308</v>
      </c>
      <c r="K40" s="12" t="n">
        <v>1800000</v>
      </c>
      <c r="L40" s="8">
        <f>SUM(G40:K40)</f>
        <v/>
      </c>
      <c r="M40" s="12" t="n">
        <v>1260000</v>
      </c>
      <c r="N40" s="12" t="n">
        <v>0</v>
      </c>
      <c r="O40" s="9">
        <f>L40-M40-N40</f>
        <v/>
      </c>
      <c r="P40" s="11" t="inlineStr"/>
    </row>
    <row r="41" ht="20" customHeight="1">
      <c r="A41" s="4" t="inlineStr">
        <is>
          <t>TP0037</t>
        </is>
      </c>
      <c r="B41" s="5" t="inlineStr">
        <is>
          <t>Phạm Hồng Thanh</t>
        </is>
      </c>
      <c r="C41" s="5" t="inlineStr">
        <is>
          <t>Xưởng Sản xuất &amp; Vận hành</t>
        </is>
      </c>
      <c r="D41" s="5" t="inlineStr">
        <is>
          <t>Chuyên viên QA/QC (Kiểm soát chất lượng)</t>
        </is>
      </c>
      <c r="E41" s="6" t="n">
        <v>12000000</v>
      </c>
      <c r="F41" s="7" t="n">
        <v>26</v>
      </c>
      <c r="G41" s="6">
        <f>ROUND(E41/26*F41, 0)</f>
        <v/>
      </c>
      <c r="H41" s="6" t="n">
        <v>1500000</v>
      </c>
      <c r="I41" s="6" t="n">
        <v>730000</v>
      </c>
      <c r="J41" s="6" t="n">
        <v>1500000</v>
      </c>
      <c r="K41" s="6" t="n">
        <v>1800000</v>
      </c>
      <c r="L41" s="8">
        <f>SUM(G41:K41)</f>
        <v/>
      </c>
      <c r="M41" s="6" t="n">
        <v>1260000</v>
      </c>
      <c r="N41" s="6" t="n">
        <v>227000</v>
      </c>
      <c r="O41" s="9">
        <f>L41-M41-N41</f>
        <v/>
      </c>
      <c r="P41" s="5" t="inlineStr"/>
    </row>
    <row r="42" ht="20" customHeight="1">
      <c r="A42" s="10" t="inlineStr">
        <is>
          <t>TP0038</t>
        </is>
      </c>
      <c r="B42" s="11" t="inlineStr">
        <is>
          <t>Lương Ngọc An</t>
        </is>
      </c>
      <c r="C42" s="11" t="inlineStr">
        <is>
          <t>Xưởng Sản xuất &amp; Vận hành</t>
        </is>
      </c>
      <c r="D42" s="11" t="inlineStr">
        <is>
          <t>Thủ kho hàng hóa &amp; Vật tư</t>
        </is>
      </c>
      <c r="E42" s="12" t="n">
        <v>8500000</v>
      </c>
      <c r="F42" s="13" t="n">
        <v>26</v>
      </c>
      <c r="G42" s="12">
        <f>ROUND(E42/26*F42, 0)</f>
        <v/>
      </c>
      <c r="H42" s="12" t="n">
        <v>1000000</v>
      </c>
      <c r="I42" s="12" t="n">
        <v>730000</v>
      </c>
      <c r="J42" s="12" t="n">
        <v>0</v>
      </c>
      <c r="K42" s="12" t="n">
        <v>800000</v>
      </c>
      <c r="L42" s="8">
        <f>SUM(G42:K42)</f>
        <v/>
      </c>
      <c r="M42" s="12" t="n">
        <v>892500</v>
      </c>
      <c r="N42" s="12" t="n">
        <v>0</v>
      </c>
      <c r="O42" s="9">
        <f>L42-M42-N42</f>
        <v/>
      </c>
      <c r="P42" s="11" t="inlineStr"/>
    </row>
    <row r="43" ht="20" customHeight="1">
      <c r="A43" s="4" t="inlineStr">
        <is>
          <t>TP0039</t>
        </is>
      </c>
      <c r="B43" s="5" t="inlineStr">
        <is>
          <t>Vũ Đình Sáng</t>
        </is>
      </c>
      <c r="C43" s="5" t="inlineStr">
        <is>
          <t>Xưởng Sản xuất &amp; Vận hành</t>
        </is>
      </c>
      <c r="D43" s="5" t="inlineStr">
        <is>
          <t>Thủ kho hàng hóa &amp; Vật tư</t>
        </is>
      </c>
      <c r="E43" s="6" t="n">
        <v>8500000</v>
      </c>
      <c r="F43" s="7" t="n">
        <v>26</v>
      </c>
      <c r="G43" s="6">
        <f>ROUND(E43/26*F43, 0)</f>
        <v/>
      </c>
      <c r="H43" s="6" t="n">
        <v>1000000</v>
      </c>
      <c r="I43" s="6" t="n">
        <v>730000</v>
      </c>
      <c r="J43" s="6" t="n">
        <v>1062500</v>
      </c>
      <c r="K43" s="6" t="n">
        <v>1800000</v>
      </c>
      <c r="L43" s="8">
        <f>SUM(G43:K43)</f>
        <v/>
      </c>
      <c r="M43" s="6" t="n">
        <v>892500</v>
      </c>
      <c r="N43" s="6" t="n">
        <v>23500</v>
      </c>
      <c r="O43" s="9">
        <f>L43-M43-N43</f>
        <v/>
      </c>
      <c r="P43" s="5" t="inlineStr"/>
    </row>
    <row r="44" ht="20" customHeight="1">
      <c r="A44" s="10" t="inlineStr">
        <is>
          <t>TP0040</t>
        </is>
      </c>
      <c r="B44" s="11" t="inlineStr">
        <is>
          <t>Nguyễn Văn Minh</t>
        </is>
      </c>
      <c r="C44" s="11" t="inlineStr">
        <is>
          <t>Xưởng Sản xuất &amp; Vận hành</t>
        </is>
      </c>
      <c r="D44" s="11" t="inlineStr">
        <is>
          <t>Công nhân sản xuất / Đóng gói</t>
        </is>
      </c>
      <c r="E44" s="12" t="n">
        <v>6500000</v>
      </c>
      <c r="F44" s="13" t="n">
        <v>26</v>
      </c>
      <c r="G44" s="12">
        <f>ROUND(E44/26*F44, 0)</f>
        <v/>
      </c>
      <c r="H44" s="12" t="n">
        <v>0</v>
      </c>
      <c r="I44" s="12" t="n">
        <v>730000</v>
      </c>
      <c r="J44" s="12" t="n">
        <v>375000</v>
      </c>
      <c r="K44" s="12" t="n">
        <v>1800000</v>
      </c>
      <c r="L44" s="8">
        <f>SUM(G44:K44)</f>
        <v/>
      </c>
      <c r="M44" s="12" t="n">
        <v>682500</v>
      </c>
      <c r="N44" s="12" t="n">
        <v>0</v>
      </c>
      <c r="O44" s="9">
        <f>L44-M44-N44</f>
        <v/>
      </c>
      <c r="P44" s="11" t="inlineStr"/>
    </row>
    <row r="45" ht="20" customHeight="1">
      <c r="A45" s="4" t="inlineStr">
        <is>
          <t>TP0041</t>
        </is>
      </c>
      <c r="B45" s="5" t="inlineStr">
        <is>
          <t>Bùi Quang Lãm</t>
        </is>
      </c>
      <c r="C45" s="5" t="inlineStr">
        <is>
          <t>Xưởng Sản xuất &amp; Vận hành</t>
        </is>
      </c>
      <c r="D45" s="5" t="inlineStr">
        <is>
          <t>Công nhân sản xuất / Đóng gói</t>
        </is>
      </c>
      <c r="E45" s="6" t="n">
        <v>6500000</v>
      </c>
      <c r="F45" s="7" t="n">
        <v>26</v>
      </c>
      <c r="G45" s="6">
        <f>ROUND(E45/26*F45, 0)</f>
        <v/>
      </c>
      <c r="H45" s="6" t="n">
        <v>0</v>
      </c>
      <c r="I45" s="6" t="n">
        <v>730000</v>
      </c>
      <c r="J45" s="6" t="n">
        <v>812500</v>
      </c>
      <c r="K45" s="6" t="n">
        <v>1800000</v>
      </c>
      <c r="L45" s="8">
        <f>SUM(G45:K45)</f>
        <v/>
      </c>
      <c r="M45" s="6" t="n">
        <v>682500</v>
      </c>
      <c r="N45" s="6" t="n">
        <v>0</v>
      </c>
      <c r="O45" s="9">
        <f>L45-M45-N45</f>
        <v/>
      </c>
      <c r="P45" s="5" t="inlineStr"/>
    </row>
    <row r="46" ht="20" customHeight="1">
      <c r="A46" s="10" t="inlineStr">
        <is>
          <t>TP0042</t>
        </is>
      </c>
      <c r="B46" s="11" t="inlineStr">
        <is>
          <t>Hoàng Kim Oanh</t>
        </is>
      </c>
      <c r="C46" s="11" t="inlineStr">
        <is>
          <t>Xưởng Sản xuất &amp; Vận hành</t>
        </is>
      </c>
      <c r="D46" s="11" t="inlineStr">
        <is>
          <t>Công nhân sản xuất / Đóng gói</t>
        </is>
      </c>
      <c r="E46" s="12" t="n">
        <v>6500000</v>
      </c>
      <c r="F46" s="13" t="n">
        <v>26</v>
      </c>
      <c r="G46" s="12">
        <f>ROUND(E46/26*F46, 0)</f>
        <v/>
      </c>
      <c r="H46" s="12" t="n">
        <v>0</v>
      </c>
      <c r="I46" s="12" t="n">
        <v>730000</v>
      </c>
      <c r="J46" s="12" t="n">
        <v>0</v>
      </c>
      <c r="K46" s="12" t="n">
        <v>800000</v>
      </c>
      <c r="L46" s="8">
        <f>SUM(G46:K46)</f>
        <v/>
      </c>
      <c r="M46" s="12" t="n">
        <v>682500</v>
      </c>
      <c r="N46" s="12" t="n">
        <v>0</v>
      </c>
      <c r="O46" s="9">
        <f>L46-M46-N46</f>
        <v/>
      </c>
      <c r="P46" s="11" t="inlineStr"/>
    </row>
    <row r="47" ht="20" customHeight="1">
      <c r="A47" s="4" t="inlineStr">
        <is>
          <t>TP0043</t>
        </is>
      </c>
      <c r="B47" s="5" t="inlineStr">
        <is>
          <t>Trần Đình Quý</t>
        </is>
      </c>
      <c r="C47" s="5" t="inlineStr">
        <is>
          <t>Xưởng Sản xuất &amp; Vận hành</t>
        </is>
      </c>
      <c r="D47" s="5" t="inlineStr">
        <is>
          <t>Công nhân sản xuất / Đóng gói</t>
        </is>
      </c>
      <c r="E47" s="6" t="n">
        <v>6500000</v>
      </c>
      <c r="F47" s="7" t="n">
        <v>26</v>
      </c>
      <c r="G47" s="6">
        <f>ROUND(E47/26*F47, 0)</f>
        <v/>
      </c>
      <c r="H47" s="6" t="n">
        <v>0</v>
      </c>
      <c r="I47" s="6" t="n">
        <v>730000</v>
      </c>
      <c r="J47" s="6" t="n">
        <v>812500</v>
      </c>
      <c r="K47" s="6" t="n">
        <v>1800000</v>
      </c>
      <c r="L47" s="8">
        <f>SUM(G47:K47)</f>
        <v/>
      </c>
      <c r="M47" s="6" t="n">
        <v>682500</v>
      </c>
      <c r="N47" s="6" t="n">
        <v>0</v>
      </c>
      <c r="O47" s="9">
        <f>L47-M47-N47</f>
        <v/>
      </c>
      <c r="P47" s="5" t="inlineStr"/>
    </row>
    <row r="48" ht="20" customHeight="1">
      <c r="A48" s="10" t="inlineStr">
        <is>
          <t>TP0044</t>
        </is>
      </c>
      <c r="B48" s="11" t="inlineStr">
        <is>
          <t>Phạm Khánh Huyền</t>
        </is>
      </c>
      <c r="C48" s="11" t="inlineStr">
        <is>
          <t>Xưởng Sản xuất &amp; Vận hành</t>
        </is>
      </c>
      <c r="D48" s="11" t="inlineStr">
        <is>
          <t>Công nhân sản xuất / Đóng gói</t>
        </is>
      </c>
      <c r="E48" s="12" t="n">
        <v>6500000</v>
      </c>
      <c r="F48" s="13" t="n">
        <v>24</v>
      </c>
      <c r="G48" s="12">
        <f>ROUND(E48/26*F48, 0)</f>
        <v/>
      </c>
      <c r="H48" s="12" t="n">
        <v>0</v>
      </c>
      <c r="I48" s="12" t="n">
        <v>730000</v>
      </c>
      <c r="J48" s="12" t="n">
        <v>0</v>
      </c>
      <c r="K48" s="12" t="n">
        <v>800000</v>
      </c>
      <c r="L48" s="8">
        <f>SUM(G48:K48)</f>
        <v/>
      </c>
      <c r="M48" s="12" t="n">
        <v>682500</v>
      </c>
      <c r="N48" s="12" t="n">
        <v>0</v>
      </c>
      <c r="O48" s="9">
        <f>L48-M48-N48</f>
        <v/>
      </c>
      <c r="P48" s="11" t="inlineStr"/>
    </row>
    <row r="49" ht="20" customHeight="1">
      <c r="A49" s="4" t="inlineStr">
        <is>
          <t>TP0045</t>
        </is>
      </c>
      <c r="B49" s="5" t="inlineStr">
        <is>
          <t>Lê Văn Tuấn</t>
        </is>
      </c>
      <c r="C49" s="5" t="inlineStr">
        <is>
          <t>Xưởng Sản xuất &amp; Vận hành</t>
        </is>
      </c>
      <c r="D49" s="5" t="inlineStr">
        <is>
          <t>Công nhân sản xuất / Đóng gói</t>
        </is>
      </c>
      <c r="E49" s="6" t="n">
        <v>6500000</v>
      </c>
      <c r="F49" s="7" t="n">
        <v>26</v>
      </c>
      <c r="G49" s="6">
        <f>ROUND(E49/26*F49, 0)</f>
        <v/>
      </c>
      <c r="H49" s="6" t="n">
        <v>0</v>
      </c>
      <c r="I49" s="6" t="n">
        <v>730000</v>
      </c>
      <c r="J49" s="6" t="n">
        <v>812500</v>
      </c>
      <c r="K49" s="6" t="n">
        <v>1800000</v>
      </c>
      <c r="L49" s="8">
        <f>SUM(G49:K49)</f>
        <v/>
      </c>
      <c r="M49" s="6" t="n">
        <v>682500</v>
      </c>
      <c r="N49" s="6" t="n">
        <v>0</v>
      </c>
      <c r="O49" s="9">
        <f>L49-M49-N49</f>
        <v/>
      </c>
      <c r="P49" s="5" t="inlineStr"/>
    </row>
    <row r="50" ht="20" customHeight="1">
      <c r="A50" s="10" t="inlineStr">
        <is>
          <t>TP0046</t>
        </is>
      </c>
      <c r="B50" s="11" t="inlineStr">
        <is>
          <t>Nguyễn Thị Sen</t>
        </is>
      </c>
      <c r="C50" s="11" t="inlineStr">
        <is>
          <t>Xưởng Sản xuất &amp; Vận hành</t>
        </is>
      </c>
      <c r="D50" s="11" t="inlineStr">
        <is>
          <t>Công nhân sản xuất / Đóng gói</t>
        </is>
      </c>
      <c r="E50" s="12" t="n">
        <v>6500000</v>
      </c>
      <c r="F50" s="13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8" t="n">
        <v>0</v>
      </c>
      <c r="M50" s="12" t="n">
        <v>0</v>
      </c>
      <c r="N50" s="12" t="n">
        <v>0</v>
      </c>
      <c r="O50" s="9" t="n">
        <v>0</v>
      </c>
      <c r="P50" s="11" t="inlineStr">
        <is>
          <t>Nghỉ thai sản (BHXH chi trả)</t>
        </is>
      </c>
    </row>
    <row r="51" ht="20" customHeight="1">
      <c r="A51" s="4" t="inlineStr">
        <is>
          <t>TP0047</t>
        </is>
      </c>
      <c r="B51" s="5" t="inlineStr">
        <is>
          <t>Đinh Trọng Hưng</t>
        </is>
      </c>
      <c r="C51" s="5" t="inlineStr">
        <is>
          <t>Xưởng Sản xuất &amp; Vận hành</t>
        </is>
      </c>
      <c r="D51" s="5" t="inlineStr">
        <is>
          <t>Công nhân sản xuất / Đóng gói</t>
        </is>
      </c>
      <c r="E51" s="6" t="n">
        <v>6500000</v>
      </c>
      <c r="F51" s="7" t="n">
        <v>26</v>
      </c>
      <c r="G51" s="6">
        <f>ROUND(E51/26*F51, 0)</f>
        <v/>
      </c>
      <c r="H51" s="6" t="n">
        <v>0</v>
      </c>
      <c r="I51" s="6" t="n">
        <v>730000</v>
      </c>
      <c r="J51" s="6" t="n">
        <v>812500</v>
      </c>
      <c r="K51" s="6" t="n">
        <v>1800000</v>
      </c>
      <c r="L51" s="8">
        <f>SUM(G51:K51)</f>
        <v/>
      </c>
      <c r="M51" s="6" t="n">
        <v>682500</v>
      </c>
      <c r="N51" s="6" t="n">
        <v>0</v>
      </c>
      <c r="O51" s="9">
        <f>L51-M51-N51</f>
        <v/>
      </c>
      <c r="P51" s="5" t="inlineStr"/>
    </row>
    <row r="52" ht="20" customHeight="1">
      <c r="A52" s="10" t="inlineStr">
        <is>
          <t>TP0048</t>
        </is>
      </c>
      <c r="B52" s="11" t="inlineStr">
        <is>
          <t>Vũ Mai Phương</t>
        </is>
      </c>
      <c r="C52" s="11" t="inlineStr">
        <is>
          <t>Xưởng Sản xuất &amp; Vận hành</t>
        </is>
      </c>
      <c r="D52" s="11" t="inlineStr">
        <is>
          <t>Công nhân sản xuất / Đóng gói</t>
        </is>
      </c>
      <c r="E52" s="12" t="n">
        <v>6500000</v>
      </c>
      <c r="F52" s="13" t="n">
        <v>26</v>
      </c>
      <c r="G52" s="12">
        <f>ROUND(E52/26*F52, 0)</f>
        <v/>
      </c>
      <c r="H52" s="12" t="n">
        <v>0</v>
      </c>
      <c r="I52" s="12" t="n">
        <v>730000</v>
      </c>
      <c r="J52" s="12" t="n">
        <v>375000</v>
      </c>
      <c r="K52" s="12" t="n">
        <v>1800000</v>
      </c>
      <c r="L52" s="8">
        <f>SUM(G52:K52)</f>
        <v/>
      </c>
      <c r="M52" s="12" t="n">
        <v>682500</v>
      </c>
      <c r="N52" s="12" t="n">
        <v>0</v>
      </c>
      <c r="O52" s="9">
        <f>L52-M52-N52</f>
        <v/>
      </c>
      <c r="P52" s="11" t="inlineStr"/>
    </row>
    <row r="53" ht="20" customHeight="1">
      <c r="A53" s="4" t="inlineStr">
        <is>
          <t>TP0049</t>
        </is>
      </c>
      <c r="B53" s="5" t="inlineStr">
        <is>
          <t>Hoàng Văn Nam</t>
        </is>
      </c>
      <c r="C53" s="5" t="inlineStr">
        <is>
          <t>Xưởng Sản xuất &amp; Vận hành</t>
        </is>
      </c>
      <c r="D53" s="5" t="inlineStr">
        <is>
          <t>Công nhân sản xuất / Đóng gói</t>
        </is>
      </c>
      <c r="E53" s="6" t="n">
        <v>5525000</v>
      </c>
      <c r="F53" s="7" t="n">
        <v>26</v>
      </c>
      <c r="G53" s="6">
        <f>ROUND(E53/26*F53, 0)</f>
        <v/>
      </c>
      <c r="H53" s="6" t="n">
        <v>0</v>
      </c>
      <c r="I53" s="6" t="n">
        <v>730000</v>
      </c>
      <c r="J53" s="6" t="n">
        <v>0</v>
      </c>
      <c r="K53" s="6" t="n">
        <v>500000</v>
      </c>
      <c r="L53" s="8">
        <f>SUM(G53:K53)</f>
        <v/>
      </c>
      <c r="M53" s="6" t="n">
        <v>0</v>
      </c>
      <c r="N53" s="6" t="n">
        <v>0</v>
      </c>
      <c r="O53" s="9">
        <f>L53-M53-N53</f>
        <v/>
      </c>
      <c r="P53" s="5" t="inlineStr">
        <is>
          <t>Lương thử việc tháng thứ 2 (kèm thưởng động viên)</t>
        </is>
      </c>
    </row>
    <row r="54" ht="20" customHeight="1">
      <c r="A54" s="10" t="inlineStr">
        <is>
          <t>TP0050</t>
        </is>
      </c>
      <c r="B54" s="11" t="inlineStr">
        <is>
          <t>Trần Quốc Toản</t>
        </is>
      </c>
      <c r="C54" s="11" t="inlineStr">
        <is>
          <t>Xưởng Sản xuất &amp; Vận hành</t>
        </is>
      </c>
      <c r="D54" s="11" t="inlineStr">
        <is>
          <t>Công nhân sản xuất / Đóng gói</t>
        </is>
      </c>
      <c r="E54" s="12" t="n">
        <v>6500000</v>
      </c>
      <c r="F54" s="13" t="n">
        <v>26</v>
      </c>
      <c r="G54" s="12">
        <f>ROUND(E54/26*F54, 0)</f>
        <v/>
      </c>
      <c r="H54" s="12" t="n">
        <v>0</v>
      </c>
      <c r="I54" s="12" t="n">
        <v>730000</v>
      </c>
      <c r="J54" s="12" t="n">
        <v>0</v>
      </c>
      <c r="K54" s="12" t="n">
        <v>800000</v>
      </c>
      <c r="L54" s="8">
        <f>SUM(G54:K54)</f>
        <v/>
      </c>
      <c r="M54" s="12" t="n">
        <v>682500</v>
      </c>
      <c r="N54" s="12" t="n">
        <v>0</v>
      </c>
      <c r="O54" s="9">
        <f>L54-M54-N54</f>
        <v/>
      </c>
      <c r="P54" s="11" t="inlineStr"/>
    </row>
    <row r="55" ht="24" customHeight="1">
      <c r="A55" s="14" t="inlineStr"/>
      <c r="B55" s="15" t="inlineStr">
        <is>
          <t>TỔNG CỘNG QUỸ LƯƠNG</t>
        </is>
      </c>
      <c r="C55" s="14" t="inlineStr"/>
      <c r="D55" s="14" t="inlineStr"/>
      <c r="E55" s="16">
        <f>SUM(E5:E54)</f>
        <v/>
      </c>
      <c r="F55" s="4">
        <f>SUM(F5:F54)</f>
        <v/>
      </c>
      <c r="G55" s="16">
        <f>SUM(G5:G54)</f>
        <v/>
      </c>
      <c r="H55" s="16">
        <f>SUM(H5:H54)</f>
        <v/>
      </c>
      <c r="I55" s="16">
        <f>SUM(I5:I54)</f>
        <v/>
      </c>
      <c r="J55" s="16">
        <f>SUM(J5:J54)</f>
        <v/>
      </c>
      <c r="K55" s="16">
        <f>SUM(K5:K54)</f>
        <v/>
      </c>
      <c r="L55" s="16">
        <f>SUM(L5:L54)</f>
        <v/>
      </c>
      <c r="M55" s="16">
        <f>SUM(M5:M54)</f>
        <v/>
      </c>
      <c r="N55" s="16">
        <f>SUM(N5:N54)</f>
        <v/>
      </c>
      <c r="O55" s="16">
        <f>SUM(O5:O54)</f>
        <v/>
      </c>
      <c r="P55" s="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32" customWidth="1" min="2" max="2"/>
    <col width="72" customWidth="1" min="3" max="3"/>
    <col width="98" customWidth="1" min="4" max="4"/>
    <col width="98" customWidth="1" min="5" max="5"/>
    <col width="98" customWidth="1" min="6" max="6"/>
    <col width="98" customWidth="1" min="7" max="7"/>
    <col width="16" customWidth="1" min="8" max="8"/>
  </cols>
  <sheetData>
    <row r="1">
      <c r="A1" s="1" t="inlineStr">
        <is>
          <t>BÁO CÁO TỔNG HỢP QUỸ LƯƠNG THEO PHÒNG BAN - THÁNG 09/2026</t>
        </is>
      </c>
    </row>
    <row r="2"/>
    <row r="3" ht="25" customHeight="1">
      <c r="A3" s="17" t="inlineStr">
        <is>
          <t>STT</t>
        </is>
      </c>
      <c r="B3" s="17" t="inlineStr">
        <is>
          <t>Phòng ban</t>
        </is>
      </c>
      <c r="C3" s="17" t="inlineStr">
        <is>
          <t>Số nhân sự</t>
        </is>
      </c>
      <c r="D3" s="17" t="inlineStr">
        <is>
          <t>Tổng thu nhập (VNĐ)</t>
        </is>
      </c>
      <c r="E3" s="17" t="inlineStr">
        <is>
          <t>Trừ BHXH,YT,TN (VNĐ)</t>
        </is>
      </c>
      <c r="F3" s="17" t="inlineStr">
        <is>
          <t>Thuế TNCN (VNĐ)</t>
        </is>
      </c>
      <c r="G3" s="17" t="inlineStr">
        <is>
          <t>Thực lĩnh chi trả (VNĐ)</t>
        </is>
      </c>
      <c r="H3" s="17" t="inlineStr">
        <is>
          <t>Tỷ trọng (%)</t>
        </is>
      </c>
    </row>
    <row r="4" ht="21" customHeight="1">
      <c r="A4" s="7" t="inlineStr">
        <is>
          <t>1</t>
        </is>
      </c>
      <c r="B4" s="5" t="inlineStr">
        <is>
          <t>Ban Giám đốc</t>
        </is>
      </c>
      <c r="C4" s="7">
        <f>COUNTIF(Bang_luong_T09_2026!C5:C54, "Ban Giám đốc")</f>
        <v/>
      </c>
      <c r="D4" s="6">
        <f>SUMIF(Bang_luong_T09_2026!C5:C54, "Ban Giám đốc", Bang_luong_T09_2026!L5:L54)</f>
        <v/>
      </c>
      <c r="E4" s="6">
        <f>SUMIF(Bang_luong_T09_2026!C5:C54, "Ban Giám đốc", Bang_luong_T09_2026!M5:M54)</f>
        <v/>
      </c>
      <c r="F4" s="6">
        <f>SUMIF(Bang_luong_T09_2026!C5:C54, "Ban Giám đốc", Bang_luong_T09_2026!N5:N54)</f>
        <v/>
      </c>
      <c r="G4" s="6">
        <f>SUMIF(Bang_luong_T09_2026!C5:C54, "Ban Giám đốc", Bang_luong_T09_2026!O5:O54)</f>
        <v/>
      </c>
      <c r="H4" s="18">
        <f>G4/G10</f>
        <v/>
      </c>
    </row>
    <row r="5" ht="21" customHeight="1">
      <c r="A5" s="7" t="inlineStr">
        <is>
          <t>2</t>
        </is>
      </c>
      <c r="B5" s="5" t="inlineStr">
        <is>
          <t>Phòng Hành chính - Nhân sự</t>
        </is>
      </c>
      <c r="C5" s="7">
        <f>COUNTIF(Bang_luong_T09_2026!C5:C54, "Phòng Hành chính - Nhân sự")</f>
        <v/>
      </c>
      <c r="D5" s="6">
        <f>SUMIF(Bang_luong_T09_2026!C5:C54, "Phòng Hành chính - Nhân sự", Bang_luong_T09_2026!L5:L54)</f>
        <v/>
      </c>
      <c r="E5" s="6">
        <f>SUMIF(Bang_luong_T09_2026!C5:C54, "Phòng Hành chính - Nhân sự", Bang_luong_T09_2026!M5:M54)</f>
        <v/>
      </c>
      <c r="F5" s="6">
        <f>SUMIF(Bang_luong_T09_2026!C5:C54, "Phòng Hành chính - Nhân sự", Bang_luong_T09_2026!N5:N54)</f>
        <v/>
      </c>
      <c r="G5" s="6">
        <f>SUMIF(Bang_luong_T09_2026!C5:C54, "Phòng Hành chính - Nhân sự", Bang_luong_T09_2026!O5:O54)</f>
        <v/>
      </c>
      <c r="H5" s="18">
        <f>G5/G10</f>
        <v/>
      </c>
    </row>
    <row r="6" ht="21" customHeight="1">
      <c r="A6" s="7" t="inlineStr">
        <is>
          <t>3</t>
        </is>
      </c>
      <c r="B6" s="5" t="inlineStr">
        <is>
          <t>Phòng Tài chính - Kế toán</t>
        </is>
      </c>
      <c r="C6" s="7">
        <f>COUNTIF(Bang_luong_T09_2026!C5:C54, "Phòng Tài chính - Kế toán")</f>
        <v/>
      </c>
      <c r="D6" s="6">
        <f>SUMIF(Bang_luong_T09_2026!C5:C54, "Phòng Tài chính - Kế toán", Bang_luong_T09_2026!L5:L54)</f>
        <v/>
      </c>
      <c r="E6" s="6">
        <f>SUMIF(Bang_luong_T09_2026!C5:C54, "Phòng Tài chính - Kế toán", Bang_luong_T09_2026!M5:M54)</f>
        <v/>
      </c>
      <c r="F6" s="6">
        <f>SUMIF(Bang_luong_T09_2026!C5:C54, "Phòng Tài chính - Kế toán", Bang_luong_T09_2026!N5:N54)</f>
        <v/>
      </c>
      <c r="G6" s="6">
        <f>SUMIF(Bang_luong_T09_2026!C5:C54, "Phòng Tài chính - Kế toán", Bang_luong_T09_2026!O5:O54)</f>
        <v/>
      </c>
      <c r="H6" s="18">
        <f>G6/G10</f>
        <v/>
      </c>
    </row>
    <row r="7" ht="21" customHeight="1">
      <c r="A7" s="7" t="inlineStr">
        <is>
          <t>4</t>
        </is>
      </c>
      <c r="B7" s="5" t="inlineStr">
        <is>
          <t>Phòng Kinh doanh &amp; Marketing</t>
        </is>
      </c>
      <c r="C7" s="7">
        <f>COUNTIF(Bang_luong_T09_2026!C5:C54, "Phòng Kinh doanh &amp; Marketing")</f>
        <v/>
      </c>
      <c r="D7" s="6">
        <f>SUMIF(Bang_luong_T09_2026!C5:C54, "Phòng Kinh doanh &amp; Marketing", Bang_luong_T09_2026!L5:L54)</f>
        <v/>
      </c>
      <c r="E7" s="6">
        <f>SUMIF(Bang_luong_T09_2026!C5:C54, "Phòng Kinh doanh &amp; Marketing", Bang_luong_T09_2026!M5:M54)</f>
        <v/>
      </c>
      <c r="F7" s="6">
        <f>SUMIF(Bang_luong_T09_2026!C5:C54, "Phòng Kinh doanh &amp; Marketing", Bang_luong_T09_2026!N5:N54)</f>
        <v/>
      </c>
      <c r="G7" s="6">
        <f>SUMIF(Bang_luong_T09_2026!C5:C54, "Phòng Kinh doanh &amp; Marketing", Bang_luong_T09_2026!O5:O54)</f>
        <v/>
      </c>
      <c r="H7" s="18">
        <f>G7/G10</f>
        <v/>
      </c>
    </row>
    <row r="8" ht="21" customHeight="1">
      <c r="A8" s="7" t="inlineStr">
        <is>
          <t>5</t>
        </is>
      </c>
      <c r="B8" s="5" t="inlineStr">
        <is>
          <t>Phòng Kỹ thuật &amp; Công nghệ</t>
        </is>
      </c>
      <c r="C8" s="7">
        <f>COUNTIF(Bang_luong_T09_2026!C5:C54, "Phòng Kỹ thuật &amp; Công nghệ")</f>
        <v/>
      </c>
      <c r="D8" s="6">
        <f>SUMIF(Bang_luong_T09_2026!C5:C54, "Phòng Kỹ thuật &amp; Công nghệ", Bang_luong_T09_2026!L5:L54)</f>
        <v/>
      </c>
      <c r="E8" s="6">
        <f>SUMIF(Bang_luong_T09_2026!C5:C54, "Phòng Kỹ thuật &amp; Công nghệ", Bang_luong_T09_2026!M5:M54)</f>
        <v/>
      </c>
      <c r="F8" s="6">
        <f>SUMIF(Bang_luong_T09_2026!C5:C54, "Phòng Kỹ thuật &amp; Công nghệ", Bang_luong_T09_2026!N5:N54)</f>
        <v/>
      </c>
      <c r="G8" s="6">
        <f>SUMIF(Bang_luong_T09_2026!C5:C54, "Phòng Kỹ thuật &amp; Công nghệ", Bang_luong_T09_2026!O5:O54)</f>
        <v/>
      </c>
      <c r="H8" s="18">
        <f>G8/G10</f>
        <v/>
      </c>
    </row>
    <row r="9" ht="21" customHeight="1">
      <c r="A9" s="7" t="inlineStr">
        <is>
          <t>6</t>
        </is>
      </c>
      <c r="B9" s="5" t="inlineStr">
        <is>
          <t>Xưởng Sản xuất &amp; Vận hành</t>
        </is>
      </c>
      <c r="C9" s="7">
        <f>COUNTIF(Bang_luong_T09_2026!C5:C54, "Xưởng Sản xuất &amp; Vận hành")</f>
        <v/>
      </c>
      <c r="D9" s="6">
        <f>SUMIF(Bang_luong_T09_2026!C5:C54, "Xưởng Sản xuất &amp; Vận hành", Bang_luong_T09_2026!L5:L54)</f>
        <v/>
      </c>
      <c r="E9" s="6">
        <f>SUMIF(Bang_luong_T09_2026!C5:C54, "Xưởng Sản xuất &amp; Vận hành", Bang_luong_T09_2026!M5:M54)</f>
        <v/>
      </c>
      <c r="F9" s="6">
        <f>SUMIF(Bang_luong_T09_2026!C5:C54, "Xưởng Sản xuất &amp; Vận hành", Bang_luong_T09_2026!N5:N54)</f>
        <v/>
      </c>
      <c r="G9" s="6">
        <f>SUMIF(Bang_luong_T09_2026!C5:C54, "Xưởng Sản xuất &amp; Vận hành", Bang_luong_T09_2026!O5:O54)</f>
        <v/>
      </c>
      <c r="H9" s="18">
        <f>G9/G10</f>
        <v/>
      </c>
    </row>
    <row r="10" ht="22" customHeight="1">
      <c r="A10" s="14" t="inlineStr"/>
      <c r="B10" s="15" t="inlineStr">
        <is>
          <t>TỔNG TOÀN CÔNG TY</t>
        </is>
      </c>
      <c r="C10" s="4">
        <f>SUM(C4:C9)</f>
        <v/>
      </c>
      <c r="D10" s="19">
        <f>SUM(D4:D9)</f>
        <v/>
      </c>
      <c r="E10" s="19">
        <f>SUM(E4:E9)</f>
        <v/>
      </c>
      <c r="F10" s="19">
        <f>SUM(F4:F9)</f>
        <v/>
      </c>
      <c r="G10" s="19">
        <f>SUM(G4:G9)</f>
        <v/>
      </c>
      <c r="H10" s="20">
        <f>SUM(H4:H9)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27" customWidth="1" min="2" max="2"/>
    <col width="27" customWidth="1" min="3" max="3"/>
    <col width="29" customWidth="1" min="4" max="4"/>
    <col width="24" customWidth="1" min="5" max="5"/>
    <col width="30" customWidth="1" min="6" max="6"/>
    <col width="30" customWidth="1" min="7" max="7"/>
  </cols>
  <sheetData>
    <row r="1">
      <c r="A1" s="1" t="inlineStr">
        <is>
          <t>BÁO CÁO TỔNG KẾT &amp; SO SÁNH QUỸ LƯƠNG QUÝ 3/2026</t>
        </is>
      </c>
    </row>
    <row r="2"/>
    <row r="3" ht="25" customHeight="1">
      <c r="A3" s="17" t="inlineStr">
        <is>
          <t>Kỳ lương</t>
        </is>
      </c>
      <c r="B3" s="17" t="inlineStr">
        <is>
          <t>Tổng nhân sự tính lương</t>
        </is>
      </c>
      <c r="C3" s="17" t="inlineStr">
        <is>
          <t>Tổng quỹ thu nhập (VNĐ)</t>
        </is>
      </c>
      <c r="D3" s="17" t="inlineStr">
        <is>
          <t>Tổng trích nộp BHXH (VNĐ)</t>
        </is>
      </c>
      <c r="E3" s="17" t="inlineStr">
        <is>
          <t>Tổng thuế TNCN (VNĐ)</t>
        </is>
      </c>
      <c r="F3" s="17" t="inlineStr">
        <is>
          <t>Tổng lương thực lĩnh (VNĐ)</t>
        </is>
      </c>
      <c r="G3" s="17" t="inlineStr">
        <is>
          <t>Tăng trưởng so tháng trước</t>
        </is>
      </c>
    </row>
    <row r="4" ht="22" customHeight="1">
      <c r="A4" s="7" t="inlineStr">
        <is>
          <t>Tháng 07/2026</t>
        </is>
      </c>
      <c r="B4" s="7" t="n">
        <v>46</v>
      </c>
      <c r="C4" s="6" t="n">
        <v>685350000</v>
      </c>
      <c r="D4" s="6" t="n">
        <v>48300000</v>
      </c>
      <c r="E4" s="6" t="n">
        <v>18550000</v>
      </c>
      <c r="F4" s="6" t="n">
        <v>618500000</v>
      </c>
      <c r="G4" s="21" t="inlineStr">
        <is>
          <t>-</t>
        </is>
      </c>
    </row>
    <row r="5" ht="22" customHeight="1">
      <c r="A5" s="7" t="inlineStr">
        <is>
          <t>Tháng 08/2026</t>
        </is>
      </c>
      <c r="B5" s="7" t="n">
        <v>49</v>
      </c>
      <c r="C5" s="6" t="n">
        <v>725450000</v>
      </c>
      <c r="D5" s="6" t="n">
        <v>48300000</v>
      </c>
      <c r="E5" s="6" t="n">
        <v>20420000</v>
      </c>
      <c r="F5" s="6" t="n">
        <v>656730000</v>
      </c>
      <c r="G5" s="21" t="inlineStr">
        <is>
          <t>+6.18%</t>
        </is>
      </c>
    </row>
    <row r="6" ht="22" customHeight="1">
      <c r="A6" s="7" t="inlineStr">
        <is>
          <t>Tháng 09/2026</t>
        </is>
      </c>
      <c r="B6" s="7" t="n">
        <v>49</v>
      </c>
      <c r="C6" s="21">
        <f>L55</f>
        <v/>
      </c>
      <c r="D6" s="21">
        <f>M55</f>
        <v/>
      </c>
      <c r="E6" s="21">
        <f>N55</f>
        <v/>
      </c>
      <c r="F6" s="21">
        <f>O55</f>
        <v/>
      </c>
      <c r="G6" s="22">
        <f>(F6-F5)/F5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2026-10-18T16:44:43Z</dcterms:created>
  <dcterms:modified xmlns:dcterms="http://purl.org/dc/terms/" xmlns:xsi="http://www.w3.org/2001/XMLSchema-instance" xsi:type="dcterms:W3CDTF">2026-10-18T16:44:43Z</dcterms:modified>
</cp:coreProperties>
</file>